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sumen_Productos" sheetId="2" state="visible" r:id="rId2"/>
    <sheet xmlns:r="http://schemas.openxmlformats.org/officeDocument/2006/relationships" name="Hojas" sheetId="3" state="visible" r:id="rId3"/>
    <sheet xmlns:r="http://schemas.openxmlformats.org/officeDocument/2006/relationships" name="Materiales_Aluminio" sheetId="4" state="visible" r:id="rId4"/>
    <sheet xmlns:r="http://schemas.openxmlformats.org/officeDocument/2006/relationships" name="Insumos_Vidrios_MO" sheetId="5" state="visible" r:id="rId5"/>
    <sheet xmlns:r="http://schemas.openxmlformats.org/officeDocument/2006/relationships" name="Inputs_Ejemplo" sheetId="6" state="visible" r:id="rId6"/>
    <sheet xmlns:r="http://schemas.openxmlformats.org/officeDocument/2006/relationships" name="Formulas_Calculo" sheetId="7" state="visible" r:id="rId7"/>
    <sheet xmlns:r="http://schemas.openxmlformats.org/officeDocument/2006/relationships" name="Porcentajes_Col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Resumen_ProductosTbl" displayName="Resumen_ProductosTbl" ref="A1:F13" headerRowCount="1">
  <autoFilter ref="A1:F13"/>
  <tableColumns count="6">
    <tableColumn id="1" name="Hoja"/>
    <tableColumn id="2" name="Producto"/>
    <tableColumn id="3" name="Entradas principales"/>
    <tableColumn id="4" name="Componentes valorizados"/>
    <tableColumn id="5" name="Margen final"/>
    <tableColumn id="6" name="Colores/recargo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HojasTbl" displayName="HojasTbl" ref="A1:G16" headerRowCount="1">
  <autoFilter ref="A1:G16"/>
  <tableColumns count="7">
    <tableColumn id="1" name="Hoja"/>
    <tableColumn id="2" name="Producto"/>
    <tableColumn id="3" name="Rol"/>
    <tableColumn id="4" name="Filas"/>
    <tableColumn id="5" name="Columnas"/>
    <tableColumn id="6" name="Celdas no vacías"/>
    <tableColumn id="7" name="Fórmula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Materiales_AluminioTbl" displayName="Materiales_AluminioTbl" ref="A1:I143" headerRowCount="1">
  <autoFilter ref="A1:I143"/>
  <tableColumns count="9">
    <tableColumn id="1" name="Hoja"/>
    <tableColumn id="2" name="Producto"/>
    <tableColumn id="3" name="Fila"/>
    <tableColumn id="4" name="Artículo"/>
    <tableColumn id="5" name="Código/Nro"/>
    <tableColumn id="6" name="Precio col C fórmula"/>
    <tableColumn id="7" name="Precio col C valor"/>
    <tableColumn id="8" name="Precio café fórmula/valor col D"/>
    <tableColumn id="9" name="Precio café valor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Insumos_Vidrios_MOTbl" displayName="Insumos_Vidrios_MOTbl" ref="A1:I161" headerRowCount="1">
  <autoFilter ref="A1:I161"/>
  <tableColumns count="9">
    <tableColumn id="1" name="Hoja"/>
    <tableColumn id="2" name="Producto"/>
    <tableColumn id="3" name="Fila"/>
    <tableColumn id="4" name="Col E / índice"/>
    <tableColumn id="5" name="Col F / tipo"/>
    <tableColumn id="6" name="Col G / valor"/>
    <tableColumn id="7" name="Col H / café"/>
    <tableColumn id="8" name="Valor col G calculado"/>
    <tableColumn id="9" name="Valor col H calculado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Inputs_EjemploTbl" displayName="Inputs_EjemploTbl" ref="A1:D127" headerRowCount="1">
  <autoFilter ref="A1:D127"/>
  <tableColumns count="4">
    <tableColumn id="1" name="Hoja"/>
    <tableColumn id="2" name="Producto"/>
    <tableColumn id="3" name="Fila"/>
    <tableColumn id="4" name="Celdas de entrada y descripció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Formulas_CalculoTbl" displayName="Formulas_CalculoTbl" ref="A1:F192" headerRowCount="1">
  <autoFilter ref="A1:F192"/>
  <tableColumns count="6">
    <tableColumn id="1" name="Hoja"/>
    <tableColumn id="2" name="Producto"/>
    <tableColumn id="3" name="Fila"/>
    <tableColumn id="4" name="Concepto"/>
    <tableColumn id="5" name="Fórmulas"/>
    <tableColumn id="6" name="Valores guardado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Porcentajes_ColoresTbl" displayName="Porcentajes_ColoresTbl" ref="A1:F93" headerRowCount="1">
  <autoFilter ref="A1:F93"/>
  <tableColumns count="6">
    <tableColumn id="1" name="Hoja"/>
    <tableColumn id="2" name="Producto"/>
    <tableColumn id="3" name="Celda"/>
    <tableColumn id="4" name="Concepto"/>
    <tableColumn id="5" name="Fórmula"/>
    <tableColumn id="6" name="Valor guardad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Campo</t>
        </is>
      </c>
      <c r="B1" s="1" t="inlineStr">
        <is>
          <t>Detalle</t>
        </is>
      </c>
    </row>
    <row r="2">
      <c r="A2" s="2" t="inlineStr">
        <is>
          <t>Origen</t>
        </is>
      </c>
      <c r="B2" s="2" t="inlineStr">
        <is>
          <t>Archivo Presupuestos Enero 2024.xlsm. Se analizaron fórmulas y valores guardados; no se ejecutaron macros.</t>
        </is>
      </c>
    </row>
    <row r="3">
      <c r="A3" s="2" t="inlineStr">
        <is>
          <t>Regla base</t>
        </is>
      </c>
      <c r="B3" s="2" t="inlineStr">
        <is>
          <t>Perfil de aluminio = metros usados × precio de tira ÷ largo de tira. Largo más frecuente: 6 m; excepciones visibles: 4,6 m y 6,05 m en líneas 8000/7000.</t>
        </is>
      </c>
    </row>
    <row r="4">
      <c r="A4" s="2" t="inlineStr">
        <is>
          <t>Vidrio</t>
        </is>
      </c>
      <c r="B4" s="2" t="inlineStr">
        <is>
          <t>Vidrio = ancho × alto × valor m² de tabla de vidrios, normalmente mediante VLOOKUP.</t>
        </is>
      </c>
    </row>
    <row r="5">
      <c r="A5" s="2" t="inlineStr">
        <is>
          <t>Accesorios</t>
        </is>
      </c>
      <c r="B5" s="2" t="inlineStr">
        <is>
          <t>Burlete/felpa = perímetro × precio; felpa casi siempre agrega 10% de holgura. Rodamientos, pestillos, bisagras, manillas, quicios y brazos = cantidad × precio unitario.</t>
        </is>
      </c>
    </row>
    <row r="6">
      <c r="A6" s="2" t="inlineStr">
        <is>
          <t>Total</t>
        </is>
      </c>
      <c r="B6" s="2" t="inlineStr">
        <is>
          <t>Subtotal = suma de componentes. Total = CEILING(subtotal × (1 + margen), 1000). Colores especiales se calculan como recargos sobre el total 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  <col width="55" customWidth="1" min="4" max="4"/>
    <col width="35" customWidth="1" min="5" max="5"/>
    <col width="45" customWidth="1" min="6" max="6"/>
  </cols>
  <sheetData>
    <row r="1">
      <c r="A1" s="1" t="inlineStr">
        <is>
          <t>Hoja</t>
        </is>
      </c>
      <c r="B1" s="1" t="inlineStr">
        <is>
          <t>Producto</t>
        </is>
      </c>
      <c r="C1" s="1" t="inlineStr">
        <is>
          <t>Entradas principales</t>
        </is>
      </c>
      <c r="D1" s="1" t="inlineStr">
        <is>
          <t>Componentes valorizados</t>
        </is>
      </c>
      <c r="E1" s="1" t="inlineStr">
        <is>
          <t>Margen final</t>
        </is>
      </c>
      <c r="F1" s="1" t="inlineStr">
        <is>
          <t>Colores/recargos</t>
        </is>
      </c>
    </row>
    <row r="2">
      <c r="A2" s="2" t="inlineStr">
        <is>
          <t>Hoja2</t>
        </is>
      </c>
      <c r="B2" s="2" t="inlineStr">
        <is>
          <t>Shower Door AM-12</t>
        </is>
      </c>
      <c r="C2" s="2" t="inlineStr">
        <is>
          <t>Alto horizontal/vertical, hojas, hoja fija, palillo, tubo esquina, acrílicos</t>
        </is>
      </c>
      <c r="D2" s="2" t="inlineStr">
        <is>
          <t>Riel inf/sup, jamba, bastidor, burlete, felpa, rodamientos, mano de obra, palillo, acrílico</t>
        </is>
      </c>
      <c r="E2" s="2" t="inlineStr">
        <is>
          <t>10% sobre subtotal; redondeo a $1.000</t>
        </is>
      </c>
      <c r="F2" s="2" t="inlineStr">
        <is>
          <t>Café con columna D; Titanio +10% sobre café; Blanco +10% sobre titanio.</t>
        </is>
      </c>
    </row>
    <row r="3">
      <c r="A3" s="2" t="inlineStr">
        <is>
          <t>Hoja3</t>
        </is>
      </c>
      <c r="B3" s="2" t="inlineStr">
        <is>
          <t>Ventana con brazo ext.</t>
        </is>
      </c>
      <c r="C3" s="2" t="inlineStr">
        <is>
          <t>Alto, ancho, tipo trabajo 1/2, vidrio, alto fijo, brazo, amarre</t>
        </is>
      </c>
      <c r="D3" s="2" t="inlineStr">
        <is>
          <t>Marco, marco hoja, junquillo, pilar, vidrio m², felpa, manilla, brazo ext., amarre, TTRS</t>
        </is>
      </c>
      <c r="E3" s="2" t="inlineStr">
        <is>
          <t>15% sobre subtotal; redondeo a $1.000</t>
        </is>
      </c>
      <c r="F3" s="2" t="inlineStr">
        <is>
          <t>Café columna D; Titanio +8% sobre natural; Blanco +10% sobre titanio; madera según fórmula.</t>
        </is>
      </c>
    </row>
    <row r="4">
      <c r="A4" s="2" t="inlineStr">
        <is>
          <t>Hoja4</t>
        </is>
      </c>
      <c r="B4" s="2" t="inlineStr">
        <is>
          <t>Centro de puerta 7095/5034</t>
        </is>
      </c>
      <c r="C4" s="2" t="inlineStr">
        <is>
          <t>Alto/ancho CP 7095/5034, fijo, bisagras</t>
        </is>
      </c>
      <c r="D4" s="2" t="inlineStr">
        <is>
          <t>Centro puerta 7095/5034, junquillo, vidrio m², felpa, bisagras, TTRS, mano de obra</t>
        </is>
      </c>
      <c r="E4" s="2" t="inlineStr">
        <is>
          <t>30% sobre subtotal; redondeo a $1.000</t>
        </is>
      </c>
      <c r="F4" s="2" t="inlineStr">
        <is>
          <t>Titanio +10% sobre café; Blanco +10% sobre titanio; Madera +15% sobre blanco.</t>
        </is>
      </c>
    </row>
    <row r="5">
      <c r="A5" s="2" t="inlineStr">
        <is>
          <t>Hoja5</t>
        </is>
      </c>
      <c r="B5" s="2" t="inlineStr">
        <is>
          <t>Centro puerta 30x60/40x80</t>
        </is>
      </c>
      <c r="C5" s="2" t="inlineStr">
        <is>
          <t>Alto/ancho CP 30x60/40x80, fijo, quicio</t>
        </is>
      </c>
      <c r="D5" s="2" t="inlineStr">
        <is>
          <t>Centro puerta 30x60/40x80, junquillo, cristal 10mm, quicio, TTRS, M.O.</t>
        </is>
      </c>
      <c r="E5" s="2" t="inlineStr">
        <is>
          <t>20% natural y 30% café; redondeo a $1.000</t>
        </is>
      </c>
      <c r="F5" s="2" t="inlineStr">
        <is>
          <t>Titanio +10% sobre café; Blanco +10% sobre titanio.</t>
        </is>
      </c>
    </row>
    <row r="6">
      <c r="A6" s="2" t="inlineStr">
        <is>
          <t>Hoja6</t>
        </is>
      </c>
      <c r="B6" s="2" t="inlineStr">
        <is>
          <t>Puertas tubo 40x40/40x100</t>
        </is>
      </c>
      <c r="C6" s="2" t="inlineStr">
        <is>
          <t>Alto, ancho, vidrio, placa, masonite/form, chapa</t>
        </is>
      </c>
      <c r="D6" s="2" t="inlineStr">
        <is>
          <t>Tubos 40x40/100/80/30x60, placa, L, junquillo, chapa, vidrio, M.O.</t>
        </is>
      </c>
      <c r="E6" s="2" t="inlineStr">
        <is>
          <t>20% sobre subtotal; redondeo a $1.000</t>
        </is>
      </c>
      <c r="F6" s="2" t="inlineStr">
        <is>
          <t>Titanio +10%; Blanco +10%; Madera +15% sobre blanco.</t>
        </is>
      </c>
    </row>
    <row r="7">
      <c r="A7" s="2" t="inlineStr">
        <is>
          <t>Hoja7</t>
        </is>
      </c>
      <c r="B7" s="2" t="inlineStr">
        <is>
          <t>Línea 5000</t>
        </is>
      </c>
      <c r="C7" s="2" t="inlineStr">
        <is>
          <t>Alto horiz/vert, vidrio, hojas, palillo, tercera hoja, tubo</t>
        </is>
      </c>
      <c r="D7" s="2" t="inlineStr">
        <is>
          <t>Rieles, jamba, cabeceras, traslapo, pierna, vidrio, burlete, felpa, rodamientos, pestillos</t>
        </is>
      </c>
      <c r="E7" s="2" t="inlineStr">
        <is>
          <t>15% natural y 25% café; redondeo a $1.000</t>
        </is>
      </c>
      <c r="F7" s="2" t="inlineStr">
        <is>
          <t>Titanio +10%; Blanco +10%; Madera +15% sobre blanco.</t>
        </is>
      </c>
    </row>
    <row r="8">
      <c r="A8" s="2" t="inlineStr">
        <is>
          <t>Hoja8</t>
        </is>
      </c>
      <c r="B8" s="2" t="inlineStr">
        <is>
          <t>Fijo tubular rectangular</t>
        </is>
      </c>
      <c r="C8" s="2" t="inlineStr">
        <is>
          <t>Alto/ancho tubo 30x60 o 40x80, vidrio, placa</t>
        </is>
      </c>
      <c r="D8" s="2" t="inlineStr">
        <is>
          <t>Tubos, junquillos 10/10 o 20/12, vidrio, silicona, tarugo/tornillo, M.O.</t>
        </is>
      </c>
      <c r="E8" s="2" t="inlineStr">
        <is>
          <t>40% sobre subtotal; redondeo a $1.000</t>
        </is>
      </c>
      <c r="F8" s="2" t="inlineStr">
        <is>
          <t>Titanio +10%; Blanco +10%; Madera +15% sobre blanco.</t>
        </is>
      </c>
    </row>
    <row r="9">
      <c r="A9" s="2" t="inlineStr">
        <is>
          <t>Hoja9</t>
        </is>
      </c>
      <c r="B9" s="2" t="inlineStr">
        <is>
          <t>Fijo con centro de puerta</t>
        </is>
      </c>
      <c r="C9" s="2" t="inlineStr">
        <is>
          <t>Alto/ancho CP 7095/5034, vidrio, palillo, tubo</t>
        </is>
      </c>
      <c r="D9" s="2" t="inlineStr">
        <is>
          <t>Centro puerta, junquillos, palillo, vidrio, silicona, tarugo/tornillo, M.O.</t>
        </is>
      </c>
      <c r="E9" s="2" t="inlineStr">
        <is>
          <t>40% natural y 80% café; redondeo a $1.000</t>
        </is>
      </c>
      <c r="F9" s="2" t="inlineStr">
        <is>
          <t>Titanio +10%; Blanco +10%; madera +10% sobre blanco.</t>
        </is>
      </c>
    </row>
    <row r="10">
      <c r="A10" s="2" t="inlineStr">
        <is>
          <t>Hoja10</t>
        </is>
      </c>
      <c r="B10" s="2" t="inlineStr">
        <is>
          <t>Línea 8000</t>
        </is>
      </c>
      <c r="C10" s="2" t="inlineStr">
        <is>
          <t>Alto horiz/vert, vidrio normal o termopanel, hojas, palillo, placa/form, tubo</t>
        </is>
      </c>
      <c r="D10" s="2" t="inlineStr">
        <is>
          <t>Perfiles 8000, termopanel, separador, silica, unión, butilo, accesorios, M.O.</t>
        </is>
      </c>
      <c r="E10" s="2" t="inlineStr">
        <is>
          <t>10% sobre subtotal; redondeo a $1.000</t>
        </is>
      </c>
      <c r="F10" s="2" t="inlineStr">
        <is>
          <t>Titanio +10%; Blanco +10%; Madera +10% sobre blanco. Termopanel agrega consumibles y M.O. por m².</t>
        </is>
      </c>
    </row>
    <row r="11">
      <c r="A11" s="2" t="inlineStr">
        <is>
          <t>Hoja11</t>
        </is>
      </c>
      <c r="B11" s="2" t="inlineStr">
        <is>
          <t>Celosías</t>
        </is>
      </c>
      <c r="C11" s="2" t="inlineStr">
        <is>
          <t>Alto horiz/vert, vidrio, cantidad de aspas, fijo con celosía</t>
        </is>
      </c>
      <c r="D11" s="2" t="inlineStr">
        <is>
          <t>Marco, junquillo, pilar, aspas, vidrio, escuadras, tubo, M.O.</t>
        </is>
      </c>
      <c r="E11" s="2" t="inlineStr">
        <is>
          <t>50% sobre subtotal; redondeo a $1.000</t>
        </is>
      </c>
      <c r="F11" s="2" t="inlineStr">
        <is>
          <t>Titanio +10% sobre café.</t>
        </is>
      </c>
    </row>
    <row r="12">
      <c r="A12" s="2" t="inlineStr">
        <is>
          <t>Hoja12</t>
        </is>
      </c>
      <c r="B12" s="2" t="inlineStr">
        <is>
          <t>Línea 7000</t>
        </is>
      </c>
      <c r="C12" s="2" t="inlineStr">
        <is>
          <t>Alto horiz/vert, vidrio, hojas, placa/form, tubo</t>
        </is>
      </c>
      <c r="D12" s="2" t="inlineStr">
        <is>
          <t>Perfiles 7000, vidrio, burlete, felpa, rodamientos, pestillos, M.O., palillo</t>
        </is>
      </c>
      <c r="E12" s="2" t="inlineStr">
        <is>
          <t>80% sobre subtotal; redondeo a $1.000</t>
        </is>
      </c>
      <c r="F12" s="2" t="inlineStr">
        <is>
          <t>Titanio +10% sobre café.</t>
        </is>
      </c>
    </row>
    <row r="13">
      <c r="A13" s="2" t="inlineStr">
        <is>
          <t>Hoja13</t>
        </is>
      </c>
      <c r="B13" s="2" t="inlineStr">
        <is>
          <t>Ventana de abatir</t>
        </is>
      </c>
      <c r="C13" s="2" t="inlineStr">
        <is>
          <t>Alto, ancho, vidrio, bisagras, pestillos, brazo ext, amarre, tubo/marco opcional</t>
        </is>
      </c>
      <c r="D13" s="2" t="inlineStr">
        <is>
          <t>Pierna, centro puerta, junquillo, vidrio, burlete, felpa, bisagras, pestillo, M.O., TTRS</t>
        </is>
      </c>
      <c r="E13" s="2" t="inlineStr">
        <is>
          <t>40% natural y 80% café; redondeo a $1.000</t>
        </is>
      </c>
      <c r="F13" s="2" t="inlineStr">
        <is>
          <t>Titanio +10% sobre café; Blanco +10% sobre titanio.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2" customWidth="1" min="3" max="3"/>
    <col width="10" customWidth="1" min="4" max="4"/>
    <col width="10" customWidth="1" min="5" max="5"/>
    <col width="16" customWidth="1" min="6" max="6"/>
    <col width="10" customWidth="1" min="7" max="7"/>
  </cols>
  <sheetData>
    <row r="1">
      <c r="A1" s="1" t="inlineStr">
        <is>
          <t>Hoja</t>
        </is>
      </c>
      <c r="B1" s="1" t="inlineStr">
        <is>
          <t>Producto</t>
        </is>
      </c>
      <c r="C1" s="1" t="inlineStr">
        <is>
          <t>Rol</t>
        </is>
      </c>
      <c r="D1" s="1" t="inlineStr">
        <is>
          <t>Filas</t>
        </is>
      </c>
      <c r="E1" s="1" t="inlineStr">
        <is>
          <t>Columnas</t>
        </is>
      </c>
      <c r="F1" s="1" t="inlineStr">
        <is>
          <t>Celdas no vacías</t>
        </is>
      </c>
      <c r="G1" s="1" t="inlineStr">
        <is>
          <t>Fórmulas</t>
        </is>
      </c>
    </row>
    <row r="2">
      <c r="A2" s="2" t="inlineStr">
        <is>
          <t>Hoja1</t>
        </is>
      </c>
      <c r="B2" s="2" t="inlineStr">
        <is>
          <t>Hoja1</t>
        </is>
      </c>
      <c r="C2" s="2" t="inlineStr">
        <is>
          <t>Menú principal</t>
        </is>
      </c>
      <c r="D2" s="3" t="n">
        <v>36</v>
      </c>
      <c r="E2" s="3" t="n">
        <v>11</v>
      </c>
      <c r="F2" s="3" t="n">
        <v>3</v>
      </c>
      <c r="G2" s="3" t="n">
        <v>0</v>
      </c>
    </row>
    <row r="3">
      <c r="A3" s="2" t="inlineStr">
        <is>
          <t>Hoja2</t>
        </is>
      </c>
      <c r="B3" s="2" t="inlineStr">
        <is>
          <t>PRESUPUESTO SHOWER DOOR LINEA AM-12 ALUMCO</t>
        </is>
      </c>
      <c r="C3" s="2" t="inlineStr">
        <is>
          <t>Cotizador</t>
        </is>
      </c>
      <c r="D3" s="3" t="n">
        <v>75</v>
      </c>
      <c r="E3" s="3" t="n">
        <v>10</v>
      </c>
      <c r="F3" s="3" t="n">
        <v>152</v>
      </c>
      <c r="G3" s="3" t="n">
        <v>44</v>
      </c>
    </row>
    <row r="4">
      <c r="A4" s="2" t="inlineStr">
        <is>
          <t>Hoja3</t>
        </is>
      </c>
      <c r="B4" s="2" t="inlineStr">
        <is>
          <t>PRESUPUESTO VENTANA CON BRAZO EXT.</t>
        </is>
      </c>
      <c r="C4" s="2" t="inlineStr">
        <is>
          <t>Cotizador</t>
        </is>
      </c>
      <c r="D4" s="3" t="n">
        <v>76</v>
      </c>
      <c r="E4" s="3" t="n">
        <v>11</v>
      </c>
      <c r="F4" s="3" t="n">
        <v>193</v>
      </c>
      <c r="G4" s="3" t="n">
        <v>62</v>
      </c>
    </row>
    <row r="5">
      <c r="A5" s="2" t="inlineStr">
        <is>
          <t>Hoja4</t>
        </is>
      </c>
      <c r="B5" s="2" t="inlineStr">
        <is>
          <t>PRESUPUESTO CENTROS DE PUERTA</t>
        </is>
      </c>
      <c r="C5" s="2" t="inlineStr">
        <is>
          <t>Cotizador</t>
        </is>
      </c>
      <c r="D5" s="3" t="n">
        <v>77</v>
      </c>
      <c r="E5" s="3" t="n">
        <v>10</v>
      </c>
      <c r="F5" s="3" t="n">
        <v>166</v>
      </c>
      <c r="G5" s="3" t="n">
        <v>46</v>
      </c>
    </row>
    <row r="6">
      <c r="A6" s="2" t="inlineStr">
        <is>
          <t>Hoja5</t>
        </is>
      </c>
      <c r="B6" s="2" t="inlineStr">
        <is>
          <t>PRESUPUESTO CENTROS DE PUERTA</t>
        </is>
      </c>
      <c r="C6" s="2" t="inlineStr">
        <is>
          <t>Cotizador</t>
        </is>
      </c>
      <c r="D6" s="3" t="n">
        <v>87</v>
      </c>
      <c r="E6" s="3" t="n">
        <v>10</v>
      </c>
      <c r="F6" s="3" t="n">
        <v>148</v>
      </c>
      <c r="G6" s="3" t="n">
        <v>43</v>
      </c>
    </row>
    <row r="7">
      <c r="A7" s="2" t="inlineStr">
        <is>
          <t>Hoja6</t>
        </is>
      </c>
      <c r="B7" s="2" t="inlineStr">
        <is>
          <t>PRESUPUESTOS PUERTAS TUBO 40x40 Y 40x100</t>
        </is>
      </c>
      <c r="C7" s="2" t="inlineStr">
        <is>
          <t>Cotizador</t>
        </is>
      </c>
      <c r="D7" s="3" t="n">
        <v>77</v>
      </c>
      <c r="E7" s="3" t="n">
        <v>11</v>
      </c>
      <c r="F7" s="3" t="n">
        <v>180</v>
      </c>
      <c r="G7" s="3" t="n">
        <v>42</v>
      </c>
    </row>
    <row r="8">
      <c r="A8" s="2" t="inlineStr">
        <is>
          <t>Hoja7</t>
        </is>
      </c>
      <c r="B8" s="2" t="inlineStr">
        <is>
          <t>PRESUPUESTOS LINEA 5000</t>
        </is>
      </c>
      <c r="C8" s="2" t="inlineStr">
        <is>
          <t>Cotizador</t>
        </is>
      </c>
      <c r="D8" s="3" t="n">
        <v>77</v>
      </c>
      <c r="E8" s="3" t="n">
        <v>10</v>
      </c>
      <c r="F8" s="3" t="n">
        <v>191</v>
      </c>
      <c r="G8" s="3" t="n">
        <v>50</v>
      </c>
    </row>
    <row r="9">
      <c r="A9" s="2" t="inlineStr">
        <is>
          <t>Hoja8</t>
        </is>
      </c>
      <c r="B9" s="2" t="inlineStr">
        <is>
          <t>FIJOS CON TUBULAR RECTANGULAR</t>
        </is>
      </c>
      <c r="C9" s="2" t="inlineStr">
        <is>
          <t>Cotizador</t>
        </is>
      </c>
      <c r="D9" s="3" t="n">
        <v>77</v>
      </c>
      <c r="E9" s="3" t="n">
        <v>10</v>
      </c>
      <c r="F9" s="3" t="n">
        <v>186</v>
      </c>
      <c r="G9" s="3" t="n">
        <v>51</v>
      </c>
    </row>
    <row r="10">
      <c r="A10" s="2" t="inlineStr">
        <is>
          <t>Hoja9</t>
        </is>
      </c>
      <c r="B10" s="2" t="inlineStr">
        <is>
          <t>FIJOS CON CENTRO DE PUERTA</t>
        </is>
      </c>
      <c r="C10" s="2" t="inlineStr">
        <is>
          <t>Cotizador</t>
        </is>
      </c>
      <c r="D10" s="3" t="n">
        <v>79</v>
      </c>
      <c r="E10" s="3" t="n">
        <v>10</v>
      </c>
      <c r="F10" s="3" t="n">
        <v>173</v>
      </c>
      <c r="G10" s="3" t="n">
        <v>50</v>
      </c>
    </row>
    <row r="11">
      <c r="A11" s="2" t="inlineStr">
        <is>
          <t>Hoja10</t>
        </is>
      </c>
      <c r="B11" s="2" t="inlineStr">
        <is>
          <t>PRESUPUESTOS LINEA 8000</t>
        </is>
      </c>
      <c r="C11" s="2" t="inlineStr">
        <is>
          <t>Cotizador</t>
        </is>
      </c>
      <c r="D11" s="3" t="n">
        <v>77</v>
      </c>
      <c r="E11" s="3" t="n">
        <v>12</v>
      </c>
      <c r="F11" s="3" t="n">
        <v>355</v>
      </c>
      <c r="G11" s="3" t="n">
        <v>128</v>
      </c>
    </row>
    <row r="12">
      <c r="A12" s="2" t="inlineStr">
        <is>
          <t>Hoja11</t>
        </is>
      </c>
      <c r="B12" s="2" t="inlineStr">
        <is>
          <t>CELOSIAS</t>
        </is>
      </c>
      <c r="C12" s="2" t="inlineStr">
        <is>
          <t>Cotizador</t>
        </is>
      </c>
      <c r="D12" s="3" t="n">
        <v>83</v>
      </c>
      <c r="E12" s="3" t="n">
        <v>11</v>
      </c>
      <c r="F12" s="3" t="n">
        <v>197</v>
      </c>
      <c r="G12" s="3" t="n">
        <v>50</v>
      </c>
    </row>
    <row r="13">
      <c r="A13" s="2" t="inlineStr">
        <is>
          <t>Hoja12</t>
        </is>
      </c>
      <c r="B13" s="2" t="inlineStr">
        <is>
          <t>PRESUPUESTOS LINEA 7000</t>
        </is>
      </c>
      <c r="C13" s="2" t="inlineStr">
        <is>
          <t>Cotizador</t>
        </is>
      </c>
      <c r="D13" s="3" t="n">
        <v>77</v>
      </c>
      <c r="E13" s="3" t="n">
        <v>11</v>
      </c>
      <c r="F13" s="3" t="n">
        <v>243</v>
      </c>
      <c r="G13" s="3" t="n">
        <v>63</v>
      </c>
    </row>
    <row r="14">
      <c r="A14" s="2" t="inlineStr">
        <is>
          <t>Hoja13</t>
        </is>
      </c>
      <c r="B14" s="2" t="inlineStr">
        <is>
          <t>PRESUPUESTO VENTANA DE ABATIR</t>
        </is>
      </c>
      <c r="C14" s="2" t="inlineStr">
        <is>
          <t>Cotizador</t>
        </is>
      </c>
      <c r="D14" s="3" t="n">
        <v>77</v>
      </c>
      <c r="E14" s="3" t="n">
        <v>11</v>
      </c>
      <c r="F14" s="3" t="n">
        <v>201</v>
      </c>
      <c r="G14" s="3" t="n">
        <v>56</v>
      </c>
    </row>
    <row r="15">
      <c r="A15" s="2" t="inlineStr">
        <is>
          <t>Hoja14</t>
        </is>
      </c>
      <c r="B15" s="2" t="inlineStr">
        <is>
          <t>proyectos@crispieri.cl</t>
        </is>
      </c>
      <c r="C15" s="2" t="inlineStr">
        <is>
          <t>Formato presupuesto final</t>
        </is>
      </c>
      <c r="D15" s="3" t="n">
        <v>70</v>
      </c>
      <c r="E15" s="3" t="n">
        <v>14</v>
      </c>
      <c r="F15" s="3" t="n">
        <v>199</v>
      </c>
      <c r="G15" s="3" t="n">
        <v>171</v>
      </c>
    </row>
    <row r="16">
      <c r="A16" s="2" t="inlineStr">
        <is>
          <t>Hoja15</t>
        </is>
      </c>
      <c r="B16" s="2" t="inlineStr">
        <is>
          <t>Base de clientes / histórico</t>
        </is>
      </c>
      <c r="C16" s="2" t="inlineStr">
        <is>
          <t>Base clientes/histórico</t>
        </is>
      </c>
      <c r="D16" s="3" t="n">
        <v>10000</v>
      </c>
      <c r="E16" s="3" t="n">
        <v>153</v>
      </c>
      <c r="F16" s="2" t="inlineStr">
        <is>
          <t>&gt;77.000</t>
        </is>
      </c>
      <c r="G16" s="3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22" customWidth="1" min="4" max="4"/>
    <col width="16" customWidth="1" min="5" max="5"/>
    <col width="20" customWidth="1" min="6" max="6"/>
    <col width="16" customWidth="1" min="7" max="7"/>
    <col width="25" customWidth="1" min="8" max="8"/>
    <col width="16" customWidth="1" min="9" max="9"/>
  </cols>
  <sheetData>
    <row r="1">
      <c r="A1" s="1" t="inlineStr">
        <is>
          <t>Hoja</t>
        </is>
      </c>
      <c r="B1" s="1" t="inlineStr">
        <is>
          <t>Producto</t>
        </is>
      </c>
      <c r="C1" s="1" t="inlineStr">
        <is>
          <t>Fila</t>
        </is>
      </c>
      <c r="D1" s="1" t="inlineStr">
        <is>
          <t>Artículo</t>
        </is>
      </c>
      <c r="E1" s="1" t="inlineStr">
        <is>
          <t>Código/Nro</t>
        </is>
      </c>
      <c r="F1" s="1" t="inlineStr">
        <is>
          <t>Precio col C fórmula</t>
        </is>
      </c>
      <c r="G1" s="1" t="inlineStr">
        <is>
          <t>Precio col C valor</t>
        </is>
      </c>
      <c r="H1" s="1" t="inlineStr">
        <is>
          <t>Precio café fórmula/valor col D</t>
        </is>
      </c>
      <c r="I1" s="1" t="inlineStr">
        <is>
          <t>Precio café valor</t>
        </is>
      </c>
    </row>
    <row r="2">
      <c r="A2" s="2" t="inlineStr">
        <is>
          <t>Hoja2</t>
        </is>
      </c>
      <c r="B2" s="2" t="inlineStr">
        <is>
          <t>PRESUPUESTO SHOWER DOOR LINEA AM-12 ALUMCO</t>
        </is>
      </c>
      <c r="C2" s="3" t="n">
        <v>8</v>
      </c>
      <c r="D2" s="2" t="inlineStr">
        <is>
          <t>ARTICULO</t>
        </is>
      </c>
      <c r="E2" s="2" t="inlineStr">
        <is>
          <t>NRO.</t>
        </is>
      </c>
      <c r="F2" s="2" t="inlineStr">
        <is>
          <t>TIRA $</t>
        </is>
      </c>
      <c r="G2" s="2" t="inlineStr">
        <is>
          <t>TIRA $</t>
        </is>
      </c>
      <c r="H2" s="2" t="inlineStr">
        <is>
          <t>CAFE</t>
        </is>
      </c>
      <c r="I2" s="2" t="inlineStr">
        <is>
          <t>CAFE</t>
        </is>
      </c>
    </row>
    <row r="3">
      <c r="A3" s="2" t="inlineStr">
        <is>
          <t>Hoja2</t>
        </is>
      </c>
      <c r="B3" s="2" t="inlineStr">
        <is>
          <t>PRESUPUESTO SHOWER DOOR LINEA AM-12 ALUMCO</t>
        </is>
      </c>
      <c r="C3" s="3" t="n">
        <v>10</v>
      </c>
      <c r="D3" s="2" t="inlineStr">
        <is>
          <t>RIEL INF.</t>
        </is>
      </c>
      <c r="E3" s="3" t="n">
        <v>1207</v>
      </c>
      <c r="F3" s="3" t="n">
        <v>18110</v>
      </c>
      <c r="G3" s="3" t="n">
        <v>18110</v>
      </c>
      <c r="H3" s="3" t="n">
        <v>19560</v>
      </c>
      <c r="I3" s="3" t="n">
        <v>19560</v>
      </c>
    </row>
    <row r="4">
      <c r="A4" s="2" t="inlineStr">
        <is>
          <t>Hoja2</t>
        </is>
      </c>
      <c r="B4" s="2" t="inlineStr">
        <is>
          <t>PRESUPUESTO SHOWER DOOR LINEA AM-12 ALUMCO</t>
        </is>
      </c>
      <c r="C4" s="3" t="n">
        <v>11</v>
      </c>
      <c r="D4" s="2" t="inlineStr">
        <is>
          <t>JAMBA</t>
        </is>
      </c>
      <c r="E4" s="3" t="n">
        <v>1202</v>
      </c>
      <c r="F4" s="3" t="n">
        <v>13270</v>
      </c>
      <c r="G4" s="3" t="n">
        <v>13270</v>
      </c>
      <c r="H4" s="3" t="n">
        <v>14350</v>
      </c>
      <c r="I4" s="3" t="n">
        <v>14350</v>
      </c>
    </row>
    <row r="5">
      <c r="A5" s="2" t="inlineStr">
        <is>
          <t>Hoja2</t>
        </is>
      </c>
      <c r="B5" s="2" t="inlineStr">
        <is>
          <t>PRESUPUESTO SHOWER DOOR LINEA AM-12 ALUMCO</t>
        </is>
      </c>
      <c r="C5" s="3" t="n">
        <v>12</v>
      </c>
      <c r="D5" s="2" t="inlineStr">
        <is>
          <t>RIEL SUP.</t>
        </is>
      </c>
      <c r="E5" s="3" t="n">
        <v>1203</v>
      </c>
      <c r="F5" s="3" t="n">
        <v>30090</v>
      </c>
      <c r="G5" s="3" t="n">
        <v>30090</v>
      </c>
      <c r="H5" s="3" t="n">
        <v>32500</v>
      </c>
      <c r="I5" s="3" t="n">
        <v>32500</v>
      </c>
    </row>
    <row r="6">
      <c r="A6" s="2" t="inlineStr">
        <is>
          <t>Hoja2</t>
        </is>
      </c>
      <c r="B6" s="2" t="inlineStr">
        <is>
          <t>PRESUPUESTO SHOWER DOOR LINEA AM-12 ALUMCO</t>
        </is>
      </c>
      <c r="C6" s="3" t="n">
        <v>13</v>
      </c>
      <c r="D6" s="2" t="inlineStr">
        <is>
          <t>BASTIDOR</t>
        </is>
      </c>
      <c r="E6" s="3" t="n">
        <v>1204</v>
      </c>
      <c r="F6" s="3" t="n">
        <v>11130</v>
      </c>
      <c r="G6" s="3" t="n">
        <v>11130</v>
      </c>
      <c r="H6" s="3" t="n">
        <v>12040</v>
      </c>
      <c r="I6" s="3" t="n">
        <v>12040</v>
      </c>
    </row>
    <row r="7">
      <c r="A7" s="2" t="inlineStr">
        <is>
          <t>Hoja2</t>
        </is>
      </c>
      <c r="B7" s="2" t="inlineStr">
        <is>
          <t>PRESUPUESTO SHOWER DOOR LINEA AM-12 ALUMCO</t>
        </is>
      </c>
      <c r="C7" s="3" t="n">
        <v>16</v>
      </c>
      <c r="D7" s="2" t="inlineStr">
        <is>
          <t>JAMBA ESQ.</t>
        </is>
      </c>
      <c r="E7" s="2" t="inlineStr">
        <is>
          <t>SD04</t>
        </is>
      </c>
      <c r="F7" s="3" t="n">
        <v>26030</v>
      </c>
      <c r="G7" s="3" t="n">
        <v>26030</v>
      </c>
      <c r="H7" s="3" t="n">
        <v>28120</v>
      </c>
      <c r="I7" s="3" t="n">
        <v>28120</v>
      </c>
    </row>
    <row r="8">
      <c r="A8" s="2" t="inlineStr">
        <is>
          <t>Hoja2</t>
        </is>
      </c>
      <c r="B8" s="2" t="inlineStr">
        <is>
          <t>PRESUPUESTO SHOWER DOOR LINEA AM-12 ALUMCO</t>
        </is>
      </c>
      <c r="C8" s="3" t="n">
        <v>19</v>
      </c>
      <c r="D8" s="2" t="inlineStr">
        <is>
          <t>ACRILICOS</t>
        </is>
      </c>
      <c r="E8" s="2" t="inlineStr">
        <is>
          <t>BLANCO</t>
        </is>
      </c>
      <c r="F8" s="2" t="inlineStr">
        <is>
          <t>COLOR</t>
        </is>
      </c>
      <c r="G8" s="2" t="inlineStr">
        <is>
          <t>COLOR</t>
        </is>
      </c>
      <c r="H8" s="2" t="inlineStr"/>
      <c r="I8" s="2" t="inlineStr"/>
    </row>
    <row r="9">
      <c r="A9" s="2" t="inlineStr">
        <is>
          <t>Hoja2</t>
        </is>
      </c>
      <c r="B9" s="2" t="inlineStr">
        <is>
          <t>PRESUPUESTO SHOWER DOOR LINEA AM-12 ALUMCO</t>
        </is>
      </c>
      <c r="C9" s="3" t="n">
        <v>22</v>
      </c>
      <c r="D9" s="2" t="inlineStr">
        <is>
          <t>[1.72 x 0.84]</t>
        </is>
      </c>
      <c r="E9" s="3" t="n">
        <v>20200</v>
      </c>
      <c r="F9" s="3" t="n">
        <v>20200</v>
      </c>
      <c r="G9" s="3" t="n">
        <v>20200</v>
      </c>
      <c r="H9" s="2" t="inlineStr"/>
      <c r="I9" s="2" t="inlineStr"/>
    </row>
    <row r="10">
      <c r="A10" s="2" t="inlineStr">
        <is>
          <t>Hoja3</t>
        </is>
      </c>
      <c r="B10" s="2" t="inlineStr">
        <is>
          <t>PRESUPUESTO VENTANA CON BRAZO EXT.</t>
        </is>
      </c>
      <c r="C10" s="3" t="n">
        <v>8</v>
      </c>
      <c r="D10" s="2" t="inlineStr">
        <is>
          <t>ARTICULO</t>
        </is>
      </c>
      <c r="E10" s="2" t="inlineStr">
        <is>
          <t>Neto</t>
        </is>
      </c>
      <c r="F10" s="2" t="inlineStr">
        <is>
          <t>TIRA $</t>
        </is>
      </c>
      <c r="G10" s="2" t="inlineStr">
        <is>
          <t>TIRA $</t>
        </is>
      </c>
      <c r="H10" s="2" t="inlineStr">
        <is>
          <t>CAFE</t>
        </is>
      </c>
      <c r="I10" s="2" t="inlineStr">
        <is>
          <t>CAFE</t>
        </is>
      </c>
    </row>
    <row r="11">
      <c r="A11" s="2" t="inlineStr">
        <is>
          <t>Hoja3</t>
        </is>
      </c>
      <c r="B11" s="2" t="inlineStr">
        <is>
          <t>PRESUPUESTO VENTANA CON BRAZO EXT.</t>
        </is>
      </c>
      <c r="C11" s="3" t="n">
        <v>9</v>
      </c>
      <c r="D11" s="2" t="inlineStr">
        <is>
          <t>=</t>
        </is>
      </c>
      <c r="E11" s="2" t="inlineStr"/>
      <c r="F11" s="2" t="inlineStr">
        <is>
          <t>=</t>
        </is>
      </c>
      <c r="G11" s="2" t="inlineStr">
        <is>
          <t>=</t>
        </is>
      </c>
      <c r="H11" s="4" t="n">
        <v>0.08</v>
      </c>
      <c r="I11" s="4" t="n">
        <v>0.08</v>
      </c>
    </row>
    <row r="12">
      <c r="A12" s="2" t="inlineStr">
        <is>
          <t>Hoja3</t>
        </is>
      </c>
      <c r="B12" s="2" t="inlineStr">
        <is>
          <t>PRESUPUESTO VENTANA CON BRAZO EXT.</t>
        </is>
      </c>
      <c r="C12" s="3" t="n">
        <v>10</v>
      </c>
      <c r="D12" s="2" t="inlineStr">
        <is>
          <t>MARCO 3201</t>
        </is>
      </c>
      <c r="E12" s="3" t="n">
        <v>10830</v>
      </c>
      <c r="F12" s="2">
        <f>B10+B10*19%</f>
        <v/>
      </c>
      <c r="G12" s="4" t="n">
        <v>12887.7</v>
      </c>
      <c r="H12" s="2">
        <f>C10+C10*$D$9</f>
        <v/>
      </c>
      <c r="I12" s="4" t="n">
        <v>13918.716</v>
      </c>
    </row>
    <row r="13">
      <c r="A13" s="2" t="inlineStr">
        <is>
          <t>Hoja3</t>
        </is>
      </c>
      <c r="B13" s="2" t="inlineStr">
        <is>
          <t>PRESUPUESTO VENTANA CON BRAZO EXT.</t>
        </is>
      </c>
      <c r="C13" s="3" t="n">
        <v>11</v>
      </c>
      <c r="D13" s="2" t="inlineStr">
        <is>
          <t>MARCO HOJA 3202</t>
        </is>
      </c>
      <c r="E13" s="3" t="n">
        <v>17070</v>
      </c>
      <c r="F13" s="2">
        <f>B11+B11*19%</f>
        <v/>
      </c>
      <c r="G13" s="4" t="n">
        <v>20313.3</v>
      </c>
      <c r="H13" s="2">
        <f>C11+C11*$D$9</f>
        <v/>
      </c>
      <c r="I13" s="4" t="n">
        <v>21938.364</v>
      </c>
    </row>
    <row r="14">
      <c r="A14" s="2" t="inlineStr">
        <is>
          <t>Hoja3</t>
        </is>
      </c>
      <c r="B14" s="2" t="inlineStr">
        <is>
          <t>PRESUPUESTO VENTANA CON BRAZO EXT.</t>
        </is>
      </c>
      <c r="C14" s="3" t="n">
        <v>12</v>
      </c>
      <c r="D14" s="2" t="inlineStr">
        <is>
          <t>JUNQUILLO 3203</t>
        </is>
      </c>
      <c r="E14" s="3" t="n">
        <v>5400</v>
      </c>
      <c r="F14" s="2">
        <f>B12+B12*19%</f>
        <v/>
      </c>
      <c r="G14" s="3" t="n">
        <v>6426</v>
      </c>
      <c r="H14" s="2">
        <f>C12+C12*$D$9</f>
        <v/>
      </c>
      <c r="I14" s="4" t="n">
        <v>6940.08</v>
      </c>
    </row>
    <row r="15">
      <c r="A15" s="2" t="inlineStr">
        <is>
          <t>Hoja3</t>
        </is>
      </c>
      <c r="B15" s="2" t="inlineStr">
        <is>
          <t>PRESUPUESTO VENTANA CON BRAZO EXT.</t>
        </is>
      </c>
      <c r="C15" s="3" t="n">
        <v>13</v>
      </c>
      <c r="D15" s="2" t="inlineStr">
        <is>
          <t>A.AMARRE a-09</t>
        </is>
      </c>
      <c r="E15" s="2" t="inlineStr"/>
      <c r="F15" s="3" t="n">
        <v>500</v>
      </c>
      <c r="G15" s="3" t="n">
        <v>500</v>
      </c>
      <c r="H15" s="2">
        <f>+C13</f>
        <v/>
      </c>
      <c r="I15" s="3" t="n">
        <v>500</v>
      </c>
    </row>
    <row r="16">
      <c r="A16" s="2" t="inlineStr">
        <is>
          <t>Hoja3</t>
        </is>
      </c>
      <c r="B16" s="2" t="inlineStr">
        <is>
          <t>PRESUPUESTO VENTANA CON BRAZO EXT.</t>
        </is>
      </c>
      <c r="C16" s="3" t="n">
        <v>14</v>
      </c>
      <c r="D16" s="2" t="inlineStr">
        <is>
          <t>TUBO RECT. 30x60</t>
        </is>
      </c>
      <c r="E16" s="3" t="n">
        <v>23670</v>
      </c>
      <c r="F16" s="2">
        <f>B14+B14*19%</f>
        <v/>
      </c>
      <c r="G16" s="4" t="n">
        <v>28167.3</v>
      </c>
      <c r="H16" s="2">
        <f>C14+C14*$D$9</f>
        <v/>
      </c>
      <c r="I16" s="4" t="n">
        <v>30420.684</v>
      </c>
    </row>
    <row r="17">
      <c r="A17" s="2" t="inlineStr">
        <is>
          <t>Hoja3</t>
        </is>
      </c>
      <c r="B17" s="2" t="inlineStr">
        <is>
          <t>PRESUPUESTO VENTANA CON BRAZO EXT.</t>
        </is>
      </c>
      <c r="C17" s="3" t="n">
        <v>15</v>
      </c>
      <c r="D17" s="2" t="inlineStr">
        <is>
          <t>PILAR MARCO 3204</t>
        </is>
      </c>
      <c r="E17" s="3" t="n">
        <v>20160</v>
      </c>
      <c r="F17" s="2">
        <f>B15+B15*19%</f>
        <v/>
      </c>
      <c r="G17" s="4" t="n">
        <v>23990.4</v>
      </c>
      <c r="H17" s="2">
        <f>C15+C15*$D$9</f>
        <v/>
      </c>
      <c r="I17" s="4" t="n">
        <v>25909.632</v>
      </c>
    </row>
    <row r="18">
      <c r="A18" s="2" t="inlineStr">
        <is>
          <t>Hoja3</t>
        </is>
      </c>
      <c r="B18" s="2" t="inlineStr">
        <is>
          <t>PRESUPUESTO VENTANA CON BRAZO EXT.</t>
        </is>
      </c>
      <c r="C18" s="3" t="n">
        <v>18</v>
      </c>
      <c r="D18" s="2" t="inlineStr">
        <is>
          <t>S.T.T.R.</t>
        </is>
      </c>
      <c r="E18" s="2" t="inlineStr"/>
      <c r="F18" s="3" t="n">
        <v>2000</v>
      </c>
      <c r="G18" s="3" t="n">
        <v>2000</v>
      </c>
      <c r="H18" s="2" t="inlineStr"/>
      <c r="I18" s="2" t="inlineStr"/>
    </row>
    <row r="19">
      <c r="A19" s="2" t="inlineStr">
        <is>
          <t>Hoja3</t>
        </is>
      </c>
      <c r="B19" s="2" t="inlineStr">
        <is>
          <t>PRESUPUESTO VENTANA CON BRAZO EXT.</t>
        </is>
      </c>
      <c r="C19" s="3" t="n">
        <v>22</v>
      </c>
      <c r="D19" s="3" t="n">
        <v>1</v>
      </c>
      <c r="E19" s="2" t="inlineStr">
        <is>
          <t>VENT.ABATIR COMPL.</t>
        </is>
      </c>
      <c r="F19" s="2" t="inlineStr"/>
      <c r="G19" s="2" t="inlineStr"/>
      <c r="H19" s="2">
        <f>D25*10%+D25</f>
        <v/>
      </c>
      <c r="I19" s="3" t="n">
        <v>18700</v>
      </c>
    </row>
    <row r="20">
      <c r="A20" s="2" t="inlineStr">
        <is>
          <t>Hoja3</t>
        </is>
      </c>
      <c r="B20" s="2" t="inlineStr">
        <is>
          <t>PRESUPUESTO VENTANA CON BRAZO EXT.</t>
        </is>
      </c>
      <c r="C20" s="3" t="n">
        <v>23</v>
      </c>
      <c r="D20" s="3" t="n">
        <v>2</v>
      </c>
      <c r="E20" s="2" t="inlineStr">
        <is>
          <t>VENT.ABATIR C/FIJO</t>
        </is>
      </c>
      <c r="F20" s="2" t="inlineStr"/>
      <c r="G20" s="2" t="inlineStr"/>
      <c r="H20" s="2">
        <f>D26*10%+D26</f>
        <v/>
      </c>
      <c r="I20" s="3" t="n">
        <v>27500</v>
      </c>
    </row>
    <row r="21">
      <c r="A21" s="2" t="inlineStr">
        <is>
          <t>Hoja3</t>
        </is>
      </c>
      <c r="B21" s="2" t="inlineStr">
        <is>
          <t>PRESUPUESTO VENTANA CON BRAZO EXT.</t>
        </is>
      </c>
      <c r="C21" s="3" t="n">
        <v>30</v>
      </c>
      <c r="D21" s="2" t="inlineStr">
        <is>
          <t>FECHA:</t>
        </is>
      </c>
      <c r="E21" s="2" t="inlineStr">
        <is>
          <t>IQUIQUE,</t>
        </is>
      </c>
      <c r="F21" s="2" t="inlineStr">
        <is>
          <t>DICIEMBRE 24 DE 1996</t>
        </is>
      </c>
      <c r="G21" s="2" t="inlineStr">
        <is>
          <t>DICIEMBRE 24 DE 1996</t>
        </is>
      </c>
      <c r="H21" s="2" t="inlineStr"/>
      <c r="I21" s="2" t="inlineStr"/>
    </row>
    <row r="22">
      <c r="A22" s="2" t="inlineStr">
        <is>
          <t>Hoja4</t>
        </is>
      </c>
      <c r="B22" s="2" t="inlineStr">
        <is>
          <t>PRESUPUESTO CENTROS DE PUERTA</t>
        </is>
      </c>
      <c r="C22" s="3" t="n">
        <v>8</v>
      </c>
      <c r="D22" s="2" t="inlineStr">
        <is>
          <t>ARTICULO</t>
        </is>
      </c>
      <c r="E22" s="2" t="inlineStr">
        <is>
          <t>NRO.</t>
        </is>
      </c>
      <c r="F22" s="2" t="inlineStr">
        <is>
          <t>TIRA $</t>
        </is>
      </c>
      <c r="G22" s="2" t="inlineStr">
        <is>
          <t>TIRA $</t>
        </is>
      </c>
      <c r="H22" s="2" t="inlineStr">
        <is>
          <t>CAFE</t>
        </is>
      </c>
      <c r="I22" s="2" t="inlineStr">
        <is>
          <t>CAFE</t>
        </is>
      </c>
    </row>
    <row r="23">
      <c r="A23" s="2" t="inlineStr">
        <is>
          <t>Hoja4</t>
        </is>
      </c>
      <c r="B23" s="2" t="inlineStr">
        <is>
          <t>PRESUPUESTO CENTROS DE PUERTA</t>
        </is>
      </c>
      <c r="C23" s="3" t="n">
        <v>10</v>
      </c>
      <c r="D23" s="2" t="inlineStr">
        <is>
          <t>CENTROP.</t>
        </is>
      </c>
      <c r="E23" s="3" t="n">
        <v>7095</v>
      </c>
      <c r="F23" s="3" t="n">
        <v>18600</v>
      </c>
      <c r="G23" s="3" t="n">
        <v>18600</v>
      </c>
      <c r="H23" s="3" t="n">
        <v>20090</v>
      </c>
      <c r="I23" s="3" t="n">
        <v>20090</v>
      </c>
    </row>
    <row r="24">
      <c r="A24" s="2" t="inlineStr">
        <is>
          <t>Hoja4</t>
        </is>
      </c>
      <c r="B24" s="2" t="inlineStr">
        <is>
          <t>PRESUPUESTO CENTROS DE PUERTA</t>
        </is>
      </c>
      <c r="C24" s="3" t="n">
        <v>11</v>
      </c>
      <c r="D24" s="2" t="inlineStr">
        <is>
          <t>CENTROP.</t>
        </is>
      </c>
      <c r="E24" s="3" t="n">
        <v>5034</v>
      </c>
      <c r="F24" s="3" t="n">
        <v>24800</v>
      </c>
      <c r="G24" s="3" t="n">
        <v>24800</v>
      </c>
      <c r="H24" s="3" t="n">
        <v>26090</v>
      </c>
      <c r="I24" s="3" t="n">
        <v>26090</v>
      </c>
    </row>
    <row r="25">
      <c r="A25" s="2" t="inlineStr">
        <is>
          <t>Hoja4</t>
        </is>
      </c>
      <c r="B25" s="2" t="inlineStr">
        <is>
          <t>PRESUPUESTO CENTROS DE PUERTA</t>
        </is>
      </c>
      <c r="C25" s="3" t="n">
        <v>12</v>
      </c>
      <c r="D25" s="2" t="inlineStr">
        <is>
          <t>JQ.10x10</t>
        </is>
      </c>
      <c r="E25" s="3" t="n">
        <v>5009</v>
      </c>
      <c r="F25" s="3" t="n">
        <v>3410</v>
      </c>
      <c r="G25" s="3" t="n">
        <v>3410</v>
      </c>
      <c r="H25" s="3" t="n">
        <v>3690</v>
      </c>
      <c r="I25" s="3" t="n">
        <v>3690</v>
      </c>
    </row>
    <row r="26">
      <c r="A26" s="2" t="inlineStr">
        <is>
          <t>Hoja4</t>
        </is>
      </c>
      <c r="B26" s="2" t="inlineStr">
        <is>
          <t>PRESUPUESTO CENTROS DE PUERTA</t>
        </is>
      </c>
      <c r="C26" s="3" t="n">
        <v>13</v>
      </c>
      <c r="D26" s="2" t="inlineStr">
        <is>
          <t>FELPA</t>
        </is>
      </c>
      <c r="E26" s="2" t="inlineStr"/>
      <c r="F26" s="3" t="n">
        <v>140</v>
      </c>
      <c r="G26" s="3" t="n">
        <v>140</v>
      </c>
      <c r="H26" s="2" t="inlineStr"/>
      <c r="I26" s="2" t="inlineStr"/>
    </row>
    <row r="27">
      <c r="A27" s="2" t="inlineStr">
        <is>
          <t>Hoja4</t>
        </is>
      </c>
      <c r="B27" s="2" t="inlineStr">
        <is>
          <t>PRESUPUESTO CENTROS DE PUERTA</t>
        </is>
      </c>
      <c r="C27" s="3" t="n">
        <v>14</v>
      </c>
      <c r="D27" s="2" t="inlineStr">
        <is>
          <t>BISAGRAS</t>
        </is>
      </c>
      <c r="E27" s="2" t="inlineStr"/>
      <c r="F27" s="3" t="n">
        <v>1450</v>
      </c>
      <c r="G27" s="3" t="n">
        <v>1450</v>
      </c>
      <c r="H27" s="3" t="n">
        <v>1530</v>
      </c>
      <c r="I27" s="3" t="n">
        <v>1530</v>
      </c>
    </row>
    <row r="28">
      <c r="A28" s="2" t="inlineStr">
        <is>
          <t>Hoja4</t>
        </is>
      </c>
      <c r="B28" s="2" t="inlineStr">
        <is>
          <t>PRESUPUESTO CENTROS DE PUERTA</t>
        </is>
      </c>
      <c r="C28" s="3" t="n">
        <v>19</v>
      </c>
      <c r="D28" s="2" t="inlineStr">
        <is>
          <t>C/FIJO</t>
        </is>
      </c>
      <c r="E28" s="2" t="inlineStr"/>
      <c r="F28" s="2">
        <f>D19*10%+D19</f>
        <v/>
      </c>
      <c r="G28" s="3" t="n">
        <v>11000</v>
      </c>
      <c r="H28" s="3" t="n">
        <v>10000</v>
      </c>
      <c r="I28" s="3" t="n">
        <v>10000</v>
      </c>
    </row>
    <row r="29">
      <c r="A29" s="2" t="inlineStr">
        <is>
          <t>Hoja4</t>
        </is>
      </c>
      <c r="B29" s="2" t="inlineStr">
        <is>
          <t>PRESUPUESTO CENTROS DE PUERTA</t>
        </is>
      </c>
      <c r="C29" s="3" t="n">
        <v>20</v>
      </c>
      <c r="D29" s="2" t="inlineStr">
        <is>
          <t>S/FIJO</t>
        </is>
      </c>
      <c r="E29" s="2" t="inlineStr"/>
      <c r="F29" s="2">
        <f>D20*10%+D20</f>
        <v/>
      </c>
      <c r="G29" s="3" t="n">
        <v>9460</v>
      </c>
      <c r="H29" s="3" t="n">
        <v>8600</v>
      </c>
      <c r="I29" s="3" t="n">
        <v>8600</v>
      </c>
    </row>
    <row r="30">
      <c r="A30" s="2" t="inlineStr">
        <is>
          <t>Hoja4</t>
        </is>
      </c>
      <c r="B30" s="2" t="inlineStr">
        <is>
          <t>PRESUPUESTO CENTROS DE PUERTA</t>
        </is>
      </c>
      <c r="C30" s="3" t="n">
        <v>22</v>
      </c>
      <c r="D30" s="2" t="inlineStr">
        <is>
          <t>T.T.R.S</t>
        </is>
      </c>
      <c r="E30" s="2" t="inlineStr">
        <is>
          <t>C/FIJO</t>
        </is>
      </c>
      <c r="F30" s="3" t="n">
        <v>1000</v>
      </c>
      <c r="G30" s="3" t="n">
        <v>1000</v>
      </c>
      <c r="H30" s="2" t="inlineStr"/>
      <c r="I30" s="2" t="inlineStr"/>
    </row>
    <row r="31">
      <c r="A31" s="2" t="inlineStr">
        <is>
          <t>Hoja4</t>
        </is>
      </c>
      <c r="B31" s="2" t="inlineStr">
        <is>
          <t>PRESUPUESTO CENTROS DE PUERTA</t>
        </is>
      </c>
      <c r="C31" s="3" t="n">
        <v>23</v>
      </c>
      <c r="D31" s="2" t="inlineStr">
        <is>
          <t>T.T.R.S.</t>
        </is>
      </c>
      <c r="E31" s="2" t="inlineStr">
        <is>
          <t>S/FIJO</t>
        </is>
      </c>
      <c r="F31" s="3" t="n">
        <v>700</v>
      </c>
      <c r="G31" s="3" t="n">
        <v>700</v>
      </c>
      <c r="H31" s="2" t="inlineStr"/>
      <c r="I31" s="2" t="inlineStr"/>
    </row>
    <row r="32">
      <c r="A32" s="2" t="inlineStr">
        <is>
          <t>Hoja5</t>
        </is>
      </c>
      <c r="B32" s="2" t="inlineStr">
        <is>
          <t>PRESUPUESTO CENTROS DE PUERTA</t>
        </is>
      </c>
      <c r="C32" s="3" t="n">
        <v>8</v>
      </c>
      <c r="D32" s="2" t="inlineStr">
        <is>
          <t>ARTICULO</t>
        </is>
      </c>
      <c r="E32" s="2" t="inlineStr">
        <is>
          <t>NRO.</t>
        </is>
      </c>
      <c r="F32" s="2" t="inlineStr">
        <is>
          <t>TIRA $</t>
        </is>
      </c>
      <c r="G32" s="2" t="inlineStr">
        <is>
          <t>TIRA $</t>
        </is>
      </c>
      <c r="H32" s="2" t="inlineStr">
        <is>
          <t>CAFE</t>
        </is>
      </c>
      <c r="I32" s="2" t="inlineStr">
        <is>
          <t>CAFE</t>
        </is>
      </c>
    </row>
    <row r="33">
      <c r="A33" s="2" t="inlineStr">
        <is>
          <t>Hoja5</t>
        </is>
      </c>
      <c r="B33" s="2" t="inlineStr">
        <is>
          <t>PRESUPUESTO CENTROS DE PUERTA</t>
        </is>
      </c>
      <c r="C33" s="3" t="n">
        <v>10</v>
      </c>
      <c r="D33" s="2" t="inlineStr">
        <is>
          <t>CENTROP.</t>
        </is>
      </c>
      <c r="E33" s="2" t="inlineStr">
        <is>
          <t>30x60</t>
        </is>
      </c>
      <c r="F33" s="3" t="n">
        <v>17135</v>
      </c>
      <c r="G33" s="3" t="n">
        <v>17135</v>
      </c>
      <c r="H33" s="3" t="n">
        <v>20100</v>
      </c>
      <c r="I33" s="3" t="n">
        <v>20100</v>
      </c>
    </row>
    <row r="34">
      <c r="A34" s="2" t="inlineStr">
        <is>
          <t>Hoja5</t>
        </is>
      </c>
      <c r="B34" s="2" t="inlineStr">
        <is>
          <t>PRESUPUESTO CENTROS DE PUERTA</t>
        </is>
      </c>
      <c r="C34" s="3" t="n">
        <v>11</v>
      </c>
      <c r="D34" s="2" t="inlineStr">
        <is>
          <t>CENTROP.</t>
        </is>
      </c>
      <c r="E34" s="2" t="inlineStr">
        <is>
          <t>40x80</t>
        </is>
      </c>
      <c r="F34" s="3" t="n">
        <v>23040</v>
      </c>
      <c r="G34" s="3" t="n">
        <v>23040</v>
      </c>
      <c r="H34" s="3" t="n">
        <v>27020</v>
      </c>
      <c r="I34" s="3" t="n">
        <v>27020</v>
      </c>
    </row>
    <row r="35">
      <c r="A35" s="2" t="inlineStr">
        <is>
          <t>Hoja5</t>
        </is>
      </c>
      <c r="B35" s="2" t="inlineStr">
        <is>
          <t>PRESUPUESTO CENTROS DE PUERTA</t>
        </is>
      </c>
      <c r="C35" s="3" t="n">
        <v>12</v>
      </c>
      <c r="D35" s="2" t="inlineStr">
        <is>
          <t>JQ.10x10</t>
        </is>
      </c>
      <c r="E35" s="3" t="n">
        <v>5029</v>
      </c>
      <c r="F35" s="3" t="n">
        <v>4205</v>
      </c>
      <c r="G35" s="3" t="n">
        <v>4205</v>
      </c>
      <c r="H35" s="3" t="n">
        <v>4950</v>
      </c>
      <c r="I35" s="3" t="n">
        <v>4950</v>
      </c>
    </row>
    <row r="36">
      <c r="A36" s="2" t="inlineStr">
        <is>
          <t>Hoja5</t>
        </is>
      </c>
      <c r="B36" s="2" t="inlineStr">
        <is>
          <t>PRESUPUESTO CENTROS DE PUERTA</t>
        </is>
      </c>
      <c r="C36" s="3" t="n">
        <v>14</v>
      </c>
      <c r="D36" s="2" t="inlineStr">
        <is>
          <t>QUICIO SCANAVINI</t>
        </is>
      </c>
      <c r="E36" s="2" t="inlineStr"/>
      <c r="F36" s="3" t="n">
        <v>27000</v>
      </c>
      <c r="G36" s="3" t="n">
        <v>27000</v>
      </c>
      <c r="H36" s="3" t="n">
        <v>27000</v>
      </c>
      <c r="I36" s="3" t="n">
        <v>27000</v>
      </c>
    </row>
    <row r="37">
      <c r="A37" s="2" t="inlineStr">
        <is>
          <t>Hoja5</t>
        </is>
      </c>
      <c r="B37" s="2" t="inlineStr">
        <is>
          <t>PRESUPUESTO CENTROS DE PUERTA</t>
        </is>
      </c>
      <c r="C37" s="3" t="n">
        <v>19</v>
      </c>
      <c r="D37" s="2" t="inlineStr">
        <is>
          <t>C/FIJO</t>
        </is>
      </c>
      <c r="E37" s="2" t="inlineStr"/>
      <c r="F37" s="2">
        <f>D19*10%+D19</f>
        <v/>
      </c>
      <c r="G37" s="3" t="n">
        <v>11000</v>
      </c>
      <c r="H37" s="3" t="n">
        <v>10000</v>
      </c>
      <c r="I37" s="3" t="n">
        <v>10000</v>
      </c>
    </row>
    <row r="38">
      <c r="A38" s="2" t="inlineStr">
        <is>
          <t>Hoja5</t>
        </is>
      </c>
      <c r="B38" s="2" t="inlineStr">
        <is>
          <t>PRESUPUESTO CENTROS DE PUERTA</t>
        </is>
      </c>
      <c r="C38" s="3" t="n">
        <v>20</v>
      </c>
      <c r="D38" s="2" t="inlineStr">
        <is>
          <t>S/FIJO</t>
        </is>
      </c>
      <c r="E38" s="2" t="inlineStr"/>
      <c r="F38" s="2">
        <f>D20*10%+D20</f>
        <v/>
      </c>
      <c r="G38" s="3" t="n">
        <v>9460</v>
      </c>
      <c r="H38" s="3" t="n">
        <v>8600</v>
      </c>
      <c r="I38" s="3" t="n">
        <v>8600</v>
      </c>
    </row>
    <row r="39">
      <c r="A39" s="2" t="inlineStr">
        <is>
          <t>Hoja5</t>
        </is>
      </c>
      <c r="B39" s="2" t="inlineStr">
        <is>
          <t>PRESUPUESTO CENTROS DE PUERTA</t>
        </is>
      </c>
      <c r="C39" s="3" t="n">
        <v>22</v>
      </c>
      <c r="D39" s="2" t="inlineStr">
        <is>
          <t>T.T.R.S</t>
        </is>
      </c>
      <c r="E39" s="2" t="inlineStr">
        <is>
          <t>C/FIJO</t>
        </is>
      </c>
      <c r="F39" s="3" t="n">
        <v>2500</v>
      </c>
      <c r="G39" s="3" t="n">
        <v>2500</v>
      </c>
      <c r="H39" s="2" t="inlineStr"/>
      <c r="I39" s="2" t="inlineStr"/>
    </row>
    <row r="40">
      <c r="A40" s="2" t="inlineStr">
        <is>
          <t>Hoja5</t>
        </is>
      </c>
      <c r="B40" s="2" t="inlineStr">
        <is>
          <t>PRESUPUESTO CENTROS DE PUERTA</t>
        </is>
      </c>
      <c r="C40" s="3" t="n">
        <v>23</v>
      </c>
      <c r="D40" s="2" t="inlineStr">
        <is>
          <t>T.T.R.S.</t>
        </is>
      </c>
      <c r="E40" s="2" t="inlineStr">
        <is>
          <t>S/FIJO</t>
        </is>
      </c>
      <c r="F40" s="3" t="n">
        <v>1500</v>
      </c>
      <c r="G40" s="3" t="n">
        <v>1500</v>
      </c>
      <c r="H40" s="2" t="inlineStr"/>
      <c r="I40" s="2" t="inlineStr"/>
    </row>
    <row r="41">
      <c r="A41" s="2" t="inlineStr">
        <is>
          <t>Hoja6</t>
        </is>
      </c>
      <c r="B41" s="2" t="inlineStr">
        <is>
          <t>PRESUPUESTOS PUERTAS TUBO 40x40 Y 40x100</t>
        </is>
      </c>
      <c r="C41" s="3" t="n">
        <v>8</v>
      </c>
      <c r="D41" s="2" t="inlineStr">
        <is>
          <t>ARTICULO</t>
        </is>
      </c>
      <c r="E41" s="2" t="inlineStr">
        <is>
          <t>NRO.</t>
        </is>
      </c>
      <c r="F41" s="2" t="inlineStr">
        <is>
          <t>TIRA $</t>
        </is>
      </c>
      <c r="G41" s="2" t="inlineStr">
        <is>
          <t>TIRA $</t>
        </is>
      </c>
      <c r="H41" s="2" t="inlineStr">
        <is>
          <t>CAFE</t>
        </is>
      </c>
      <c r="I41" s="2" t="inlineStr">
        <is>
          <t>CAFE</t>
        </is>
      </c>
    </row>
    <row r="42">
      <c r="A42" s="2" t="inlineStr">
        <is>
          <t>Hoja6</t>
        </is>
      </c>
      <c r="B42" s="2" t="inlineStr">
        <is>
          <t>PRESUPUESTOS PUERTAS TUBO 40x40 Y 40x100</t>
        </is>
      </c>
      <c r="C42" s="3" t="n">
        <v>10</v>
      </c>
      <c r="D42" s="2" t="inlineStr">
        <is>
          <t>TUBO40x40</t>
        </is>
      </c>
      <c r="E42" s="2" t="inlineStr">
        <is>
          <t>C-05</t>
        </is>
      </c>
      <c r="F42" s="3" t="n">
        <v>25590</v>
      </c>
      <c r="G42" s="3" t="n">
        <v>25590</v>
      </c>
      <c r="H42" s="3" t="n">
        <v>27640</v>
      </c>
      <c r="I42" s="3" t="n">
        <v>27640</v>
      </c>
    </row>
    <row r="43">
      <c r="A43" s="2" t="inlineStr">
        <is>
          <t>Hoja6</t>
        </is>
      </c>
      <c r="B43" s="2" t="inlineStr">
        <is>
          <t>PRESUPUESTOS PUERTAS TUBO 40x40 Y 40x100</t>
        </is>
      </c>
      <c r="C43" s="3" t="n">
        <v>11</v>
      </c>
      <c r="D43" s="2" t="inlineStr">
        <is>
          <t>TUB40x100</t>
        </is>
      </c>
      <c r="E43" s="2" t="inlineStr">
        <is>
          <t>R-07</t>
        </is>
      </c>
      <c r="F43" s="3" t="n">
        <v>51820</v>
      </c>
      <c r="G43" s="3" t="n">
        <v>51820</v>
      </c>
      <c r="H43" s="3" t="n">
        <v>55970</v>
      </c>
      <c r="I43" s="3" t="n">
        <v>55970</v>
      </c>
    </row>
    <row r="44">
      <c r="A44" s="2" t="inlineStr">
        <is>
          <t>Hoja6</t>
        </is>
      </c>
      <c r="B44" s="2" t="inlineStr">
        <is>
          <t>PRESUPUESTOS PUERTAS TUBO 40x40 Y 40x100</t>
        </is>
      </c>
      <c r="C44" s="3" t="n">
        <v>12</v>
      </c>
      <c r="D44" s="2" t="inlineStr">
        <is>
          <t>TUBO40x80</t>
        </is>
      </c>
      <c r="E44" s="2" t="inlineStr">
        <is>
          <t>R-06</t>
        </is>
      </c>
      <c r="F44" s="3" t="n">
        <v>39640</v>
      </c>
      <c r="G44" s="3" t="n">
        <v>39640</v>
      </c>
      <c r="H44" s="3" t="n">
        <v>42820</v>
      </c>
      <c r="I44" s="3" t="n">
        <v>42820</v>
      </c>
    </row>
    <row r="45">
      <c r="A45" s="2" t="inlineStr">
        <is>
          <t>Hoja6</t>
        </is>
      </c>
      <c r="B45" s="2" t="inlineStr">
        <is>
          <t>PRESUPUESTOS PUERTAS TUBO 40x40 Y 40x100</t>
        </is>
      </c>
      <c r="C45" s="3" t="n">
        <v>13</v>
      </c>
      <c r="D45" s="2" t="inlineStr">
        <is>
          <t>TUBO30x60</t>
        </is>
      </c>
      <c r="E45" s="2" t="inlineStr">
        <is>
          <t>R-05</t>
        </is>
      </c>
      <c r="F45" s="3" t="n">
        <v>28420</v>
      </c>
      <c r="G45" s="3" t="n">
        <v>28420</v>
      </c>
      <c r="H45" s="3" t="n">
        <v>30690</v>
      </c>
      <c r="I45" s="3" t="n">
        <v>30690</v>
      </c>
    </row>
    <row r="46">
      <c r="A46" s="2" t="inlineStr">
        <is>
          <t>Hoja6</t>
        </is>
      </c>
      <c r="B46" s="2" t="inlineStr">
        <is>
          <t>PRESUPUESTOS PUERTAS TUBO 40x40 Y 40x100</t>
        </is>
      </c>
      <c r="C46" s="3" t="n">
        <v>14</v>
      </c>
      <c r="D46" s="2" t="inlineStr">
        <is>
          <t>PLACA AL.</t>
        </is>
      </c>
      <c r="E46" s="3" t="n">
        <v>5869</v>
      </c>
      <c r="F46" s="3" t="n">
        <v>21150</v>
      </c>
      <c r="G46" s="3" t="n">
        <v>21150</v>
      </c>
      <c r="H46" s="3" t="n">
        <v>22850</v>
      </c>
      <c r="I46" s="3" t="n">
        <v>22850</v>
      </c>
    </row>
    <row r="47">
      <c r="A47" s="2" t="inlineStr">
        <is>
          <t>Hoja6</t>
        </is>
      </c>
      <c r="B47" s="2" t="inlineStr">
        <is>
          <t>PRESUPUESTOS PUERTAS TUBO 40x40 Y 40x100</t>
        </is>
      </c>
      <c r="C47" s="3" t="n">
        <v>15</v>
      </c>
      <c r="D47" s="2" t="inlineStr">
        <is>
          <t>L 25x12</t>
        </is>
      </c>
      <c r="E47" s="3" t="n">
        <v>5007</v>
      </c>
      <c r="F47" s="3" t="n">
        <v>2958</v>
      </c>
      <c r="G47" s="3" t="n">
        <v>2958</v>
      </c>
      <c r="H47" s="3" t="n">
        <v>3480</v>
      </c>
      <c r="I47" s="3" t="n">
        <v>3480</v>
      </c>
    </row>
    <row r="48">
      <c r="A48" s="2" t="inlineStr">
        <is>
          <t>Hoja6</t>
        </is>
      </c>
      <c r="B48" s="2" t="inlineStr">
        <is>
          <t>PRESUPUESTOS PUERTAS TUBO 40x40 Y 40x100</t>
        </is>
      </c>
      <c r="C48" s="3" t="n">
        <v>16</v>
      </c>
      <c r="D48" s="2" t="inlineStr">
        <is>
          <t>JQ.10x10</t>
        </is>
      </c>
      <c r="E48" s="3" t="n">
        <v>5009</v>
      </c>
      <c r="F48" s="3" t="n">
        <v>3410</v>
      </c>
      <c r="G48" s="3" t="n">
        <v>3410</v>
      </c>
      <c r="H48" s="3" t="n">
        <v>3690</v>
      </c>
      <c r="I48" s="3" t="n">
        <v>3690</v>
      </c>
    </row>
    <row r="49">
      <c r="A49" s="2" t="inlineStr">
        <is>
          <t>Hoja6</t>
        </is>
      </c>
      <c r="B49" s="2" t="inlineStr">
        <is>
          <t>PRESUPUESTOS PUERTAS TUBO 40x40 Y 40x100</t>
        </is>
      </c>
      <c r="C49" s="3" t="n">
        <v>17</v>
      </c>
      <c r="D49" s="2" t="inlineStr">
        <is>
          <t>L AMARRE</t>
        </is>
      </c>
      <c r="E49" s="3" t="n">
        <v>5066</v>
      </c>
      <c r="F49" s="3" t="n">
        <v>42840</v>
      </c>
      <c r="G49" s="3" t="n">
        <v>42840</v>
      </c>
      <c r="H49" s="2" t="inlineStr"/>
      <c r="I49" s="2" t="inlineStr"/>
    </row>
    <row r="50">
      <c r="A50" s="2" t="inlineStr">
        <is>
          <t>Hoja6</t>
        </is>
      </c>
      <c r="B50" s="2" t="inlineStr">
        <is>
          <t>PRESUPUESTOS PUERTAS TUBO 40x40 Y 40x100</t>
        </is>
      </c>
      <c r="C50" s="3" t="n">
        <v>18</v>
      </c>
      <c r="D50" s="2" t="inlineStr">
        <is>
          <t>CHAPA 1280</t>
        </is>
      </c>
      <c r="E50" s="2" t="inlineStr"/>
      <c r="F50" s="3" t="n">
        <v>68600</v>
      </c>
      <c r="G50" s="3" t="n">
        <v>68600</v>
      </c>
      <c r="H50" s="2" t="inlineStr"/>
      <c r="I50" s="2" t="inlineStr"/>
    </row>
    <row r="51">
      <c r="A51" s="2" t="inlineStr">
        <is>
          <t>Hoja6</t>
        </is>
      </c>
      <c r="B51" s="2" t="inlineStr">
        <is>
          <t>PRESUPUESTOS PUERTAS TUBO 40x40 Y 40x100</t>
        </is>
      </c>
      <c r="C51" s="3" t="n">
        <v>19</v>
      </c>
      <c r="D51" s="3" t="n">
        <v>1080</v>
      </c>
      <c r="E51" s="2" t="inlineStr"/>
      <c r="F51" s="3" t="n">
        <v>77000</v>
      </c>
      <c r="G51" s="3" t="n">
        <v>77000</v>
      </c>
      <c r="H51" s="2" t="inlineStr"/>
      <c r="I51" s="2" t="inlineStr"/>
    </row>
    <row r="52">
      <c r="A52" s="2" t="inlineStr">
        <is>
          <t>Hoja6</t>
        </is>
      </c>
      <c r="B52" s="2" t="inlineStr">
        <is>
          <t>PRESUPUESTOS PUERTAS TUBO 40x40 Y 40x100</t>
        </is>
      </c>
      <c r="C52" s="3" t="n">
        <v>20</v>
      </c>
      <c r="D52" s="2" t="inlineStr">
        <is>
          <t>T.T.R.S.</t>
        </is>
      </c>
      <c r="E52" s="2" t="inlineStr"/>
      <c r="F52" s="3" t="n">
        <v>1000</v>
      </c>
      <c r="G52" s="3" t="n">
        <v>1000</v>
      </c>
      <c r="H52" s="2" t="inlineStr"/>
      <c r="I52" s="2" t="inlineStr"/>
    </row>
    <row r="53">
      <c r="A53" s="2" t="inlineStr">
        <is>
          <t>Hoja6</t>
        </is>
      </c>
      <c r="B53" s="2" t="inlineStr">
        <is>
          <t>PRESUPUESTOS PUERTAS TUBO 40x40 Y 40x100</t>
        </is>
      </c>
      <c r="C53" s="3" t="n">
        <v>21</v>
      </c>
      <c r="D53" s="2" t="inlineStr">
        <is>
          <t>CHAPA  40/40</t>
        </is>
      </c>
      <c r="E53" s="2" t="inlineStr"/>
      <c r="F53" s="3" t="n">
        <v>40000</v>
      </c>
      <c r="G53" s="3" t="n">
        <v>40000</v>
      </c>
      <c r="H53" s="2" t="inlineStr"/>
      <c r="I53" s="2" t="inlineStr"/>
    </row>
    <row r="54">
      <c r="A54" s="2" t="inlineStr">
        <is>
          <t>Hoja6</t>
        </is>
      </c>
      <c r="B54" s="2" t="inlineStr">
        <is>
          <t>PRESUPUESTOS PUERTAS TUBO 40x40 Y 40x100</t>
        </is>
      </c>
      <c r="C54" s="3" t="n">
        <v>22</v>
      </c>
      <c r="D54" s="2" t="inlineStr">
        <is>
          <t>M.OBRA</t>
        </is>
      </c>
      <c r="E54" s="2" t="inlineStr"/>
      <c r="F54" s="2">
        <f>D22*10%+D22</f>
        <v/>
      </c>
      <c r="G54" s="3" t="n">
        <v>28600</v>
      </c>
      <c r="H54" s="3" t="n">
        <v>26000</v>
      </c>
      <c r="I54" s="3" t="n">
        <v>26000</v>
      </c>
    </row>
    <row r="55">
      <c r="A55" s="2" t="inlineStr">
        <is>
          <t>Hoja6</t>
        </is>
      </c>
      <c r="B55" s="2" t="inlineStr">
        <is>
          <t>PRESUPUESTOS PUERTAS TUBO 40x40 Y 40x100</t>
        </is>
      </c>
      <c r="C55" s="3" t="n">
        <v>24</v>
      </c>
      <c r="D55" s="2" t="inlineStr">
        <is>
          <t>M2 FORM/MAS.</t>
        </is>
      </c>
      <c r="E55" s="2" t="inlineStr"/>
      <c r="F55" s="3" t="n">
        <v>25000</v>
      </c>
      <c r="G55" s="3" t="n">
        <v>25000</v>
      </c>
      <c r="H55" s="3" t="n">
        <v>25000</v>
      </c>
      <c r="I55" s="3" t="n">
        <v>25000</v>
      </c>
    </row>
    <row r="56">
      <c r="A56" s="2" t="inlineStr">
        <is>
          <t>Hoja6</t>
        </is>
      </c>
      <c r="B56" s="2" t="inlineStr">
        <is>
          <t>PRESUPUESTOS PUERTAS TUBO 40x40 Y 40x100</t>
        </is>
      </c>
      <c r="C56" s="3" t="n">
        <v>25</v>
      </c>
      <c r="D56" s="2" t="inlineStr">
        <is>
          <t>M2 PLACA:</t>
        </is>
      </c>
      <c r="E56" s="2" t="inlineStr"/>
      <c r="F56" s="3" t="n">
        <v>39363</v>
      </c>
      <c r="G56" s="3" t="n">
        <v>39363</v>
      </c>
      <c r="H56" s="3" t="n">
        <v>46309</v>
      </c>
      <c r="I56" s="3" t="n">
        <v>46309</v>
      </c>
    </row>
    <row r="57">
      <c r="A57" s="2" t="inlineStr">
        <is>
          <t>Hoja7</t>
        </is>
      </c>
      <c r="B57" s="2" t="inlineStr">
        <is>
          <t>PRESUPUESTOS LINEA 5000</t>
        </is>
      </c>
      <c r="C57" s="3" t="n">
        <v>8</v>
      </c>
      <c r="D57" s="2" t="inlineStr">
        <is>
          <t>ARTICULO</t>
        </is>
      </c>
      <c r="E57" s="2" t="inlineStr">
        <is>
          <t>ALUMET</t>
        </is>
      </c>
      <c r="F57" s="2" t="inlineStr">
        <is>
          <t>TIRA $</t>
        </is>
      </c>
      <c r="G57" s="2" t="inlineStr">
        <is>
          <t>TIRA $</t>
        </is>
      </c>
      <c r="H57" s="2" t="inlineStr">
        <is>
          <t>CAFE</t>
        </is>
      </c>
      <c r="I57" s="2" t="inlineStr">
        <is>
          <t>CAFE</t>
        </is>
      </c>
    </row>
    <row r="58">
      <c r="A58" s="2" t="inlineStr">
        <is>
          <t>Hoja7</t>
        </is>
      </c>
      <c r="B58" s="2" t="inlineStr">
        <is>
          <t>PRESUPUESTOS LINEA 5000</t>
        </is>
      </c>
      <c r="C58" s="3" t="n">
        <v>10</v>
      </c>
      <c r="D58" s="2" t="inlineStr">
        <is>
          <t>RIEL INF.</t>
        </is>
      </c>
      <c r="E58" s="3" t="n">
        <v>5001</v>
      </c>
      <c r="F58" s="3" t="n">
        <v>8408</v>
      </c>
      <c r="G58" s="3" t="n">
        <v>8408</v>
      </c>
      <c r="H58" s="3" t="n">
        <v>9861</v>
      </c>
      <c r="I58" s="3" t="n">
        <v>9861</v>
      </c>
    </row>
    <row r="59">
      <c r="A59" s="2" t="inlineStr">
        <is>
          <t>Hoja7</t>
        </is>
      </c>
      <c r="B59" s="2" t="inlineStr">
        <is>
          <t>PRESUPUESTOS LINEA 5000</t>
        </is>
      </c>
      <c r="C59" s="3" t="n">
        <v>11</v>
      </c>
      <c r="D59" s="2" t="inlineStr">
        <is>
          <t>RIEL SUP</t>
        </is>
      </c>
      <c r="E59" s="3" t="n">
        <v>5002</v>
      </c>
      <c r="F59" s="3" t="n">
        <v>9914</v>
      </c>
      <c r="G59" s="3" t="n">
        <v>9914</v>
      </c>
      <c r="H59" s="3" t="n">
        <v>11628</v>
      </c>
      <c r="I59" s="3" t="n">
        <v>11628</v>
      </c>
    </row>
    <row r="60">
      <c r="A60" s="2" t="inlineStr">
        <is>
          <t>Hoja7</t>
        </is>
      </c>
      <c r="B60" s="2" t="inlineStr">
        <is>
          <t>PRESUPUESTOS LINEA 5000</t>
        </is>
      </c>
      <c r="C60" s="3" t="n">
        <v>12</v>
      </c>
      <c r="D60" s="2" t="inlineStr">
        <is>
          <t>JAMBA</t>
        </is>
      </c>
      <c r="E60" s="3" t="n">
        <v>5003</v>
      </c>
      <c r="F60" s="3" t="n">
        <v>9574</v>
      </c>
      <c r="G60" s="3" t="n">
        <v>9574</v>
      </c>
      <c r="H60" s="3" t="n">
        <v>11229</v>
      </c>
      <c r="I60" s="3" t="n">
        <v>11229</v>
      </c>
    </row>
    <row r="61">
      <c r="A61" s="2" t="inlineStr">
        <is>
          <t>Hoja7</t>
        </is>
      </c>
      <c r="B61" s="2" t="inlineStr">
        <is>
          <t>PRESUPUESTOS LINEA 5000</t>
        </is>
      </c>
      <c r="C61" s="3" t="n">
        <v>13</v>
      </c>
      <c r="D61" s="2" t="inlineStr">
        <is>
          <t>CAB.INF</t>
        </is>
      </c>
      <c r="E61" s="3" t="n">
        <v>5004</v>
      </c>
      <c r="F61" s="3" t="n">
        <v>10765</v>
      </c>
      <c r="G61" s="3" t="n">
        <v>10765</v>
      </c>
      <c r="H61" s="3" t="n">
        <v>12626</v>
      </c>
      <c r="I61" s="3" t="n">
        <v>12626</v>
      </c>
    </row>
    <row r="62">
      <c r="A62" s="2" t="inlineStr">
        <is>
          <t>Hoja7</t>
        </is>
      </c>
      <c r="B62" s="2" t="inlineStr">
        <is>
          <t>PRESUPUESTOS LINEA 5000</t>
        </is>
      </c>
      <c r="C62" s="3" t="n">
        <v>14</v>
      </c>
      <c r="D62" s="2" t="inlineStr">
        <is>
          <t>CAB.SUP.</t>
        </is>
      </c>
      <c r="E62" s="3" t="n">
        <v>5005</v>
      </c>
      <c r="F62" s="3" t="n">
        <v>8918</v>
      </c>
      <c r="G62" s="3" t="n">
        <v>8918</v>
      </c>
      <c r="H62" s="3" t="n">
        <v>10460</v>
      </c>
      <c r="I62" s="3" t="n">
        <v>10460</v>
      </c>
    </row>
    <row r="63">
      <c r="A63" s="2" t="inlineStr">
        <is>
          <t>Hoja7</t>
        </is>
      </c>
      <c r="B63" s="2" t="inlineStr">
        <is>
          <t>PRESUPUESTOS LINEA 5000</t>
        </is>
      </c>
      <c r="C63" s="3" t="n">
        <v>15</v>
      </c>
      <c r="D63" s="2" t="inlineStr">
        <is>
          <t>TRASLAPO</t>
        </is>
      </c>
      <c r="E63" s="3" t="n">
        <v>5006</v>
      </c>
      <c r="F63" s="3" t="n">
        <v>9331</v>
      </c>
      <c r="G63" s="3" t="n">
        <v>9331</v>
      </c>
      <c r="H63" s="3" t="n">
        <v>10944</v>
      </c>
      <c r="I63" s="3" t="n">
        <v>10944</v>
      </c>
    </row>
    <row r="64">
      <c r="A64" s="2" t="inlineStr">
        <is>
          <t>Hoja7</t>
        </is>
      </c>
      <c r="B64" s="2" t="inlineStr">
        <is>
          <t>PRESUPUESTOS LINEA 5000</t>
        </is>
      </c>
      <c r="C64" s="3" t="n">
        <v>16</v>
      </c>
      <c r="D64" s="2" t="inlineStr">
        <is>
          <t>PIERNA</t>
        </is>
      </c>
      <c r="E64" s="3" t="n">
        <v>5007</v>
      </c>
      <c r="F64" s="3" t="n">
        <v>10473</v>
      </c>
      <c r="G64" s="3" t="n">
        <v>10473</v>
      </c>
      <c r="H64" s="3" t="n">
        <v>12284</v>
      </c>
      <c r="I64" s="3" t="n">
        <v>12284</v>
      </c>
    </row>
    <row r="65">
      <c r="A65" s="2" t="inlineStr">
        <is>
          <t>Hoja7</t>
        </is>
      </c>
      <c r="B65" s="2" t="inlineStr">
        <is>
          <t>PRESUPUESTOS LINEA 5000</t>
        </is>
      </c>
      <c r="C65" s="3" t="n">
        <v>17</v>
      </c>
      <c r="D65" s="2" t="inlineStr">
        <is>
          <t>PALILLO</t>
        </is>
      </c>
      <c r="E65" s="3" t="n">
        <v>7005</v>
      </c>
      <c r="F65" s="3" t="n">
        <v>10498</v>
      </c>
      <c r="G65" s="3" t="n">
        <v>10498</v>
      </c>
      <c r="H65" s="3" t="n">
        <v>12312</v>
      </c>
      <c r="I65" s="3" t="n">
        <v>12312</v>
      </c>
    </row>
    <row r="66">
      <c r="A66" s="2" t="inlineStr">
        <is>
          <t>Hoja7</t>
        </is>
      </c>
      <c r="B66" s="2" t="inlineStr">
        <is>
          <t>PRESUPUESTOS LINEA 5000</t>
        </is>
      </c>
      <c r="C66" s="3" t="n">
        <v>18</v>
      </c>
      <c r="D66" s="2" t="inlineStr">
        <is>
          <t>TUBO RECT.</t>
        </is>
      </c>
      <c r="E66" s="2" t="inlineStr">
        <is>
          <t>[30x60]</t>
        </is>
      </c>
      <c r="F66" s="3" t="n">
        <v>17132</v>
      </c>
      <c r="G66" s="3" t="n">
        <v>17132</v>
      </c>
      <c r="H66" s="3" t="n">
        <v>20093</v>
      </c>
      <c r="I66" s="3" t="n">
        <v>20093</v>
      </c>
    </row>
    <row r="67">
      <c r="A67" s="2" t="inlineStr">
        <is>
          <t>Hoja7</t>
        </is>
      </c>
      <c r="B67" s="2" t="inlineStr">
        <is>
          <t>PRESUPUESTOS LINEA 5000</t>
        </is>
      </c>
      <c r="C67" s="3" t="n">
        <v>22</v>
      </c>
      <c r="D67" s="2" t="inlineStr">
        <is>
          <t>DOS HOJAS</t>
        </is>
      </c>
      <c r="E67" s="2" t="inlineStr"/>
      <c r="F67" s="2">
        <f>D22*10%+D22</f>
        <v/>
      </c>
      <c r="G67" s="3" t="n">
        <v>18700</v>
      </c>
      <c r="H67" s="3" t="n">
        <v>17000</v>
      </c>
      <c r="I67" s="3" t="n">
        <v>17000</v>
      </c>
    </row>
    <row r="68">
      <c r="A68" s="2" t="inlineStr">
        <is>
          <t>Hoja7</t>
        </is>
      </c>
      <c r="B68" s="2" t="inlineStr">
        <is>
          <t>PRESUPUESTOS LINEA 5000</t>
        </is>
      </c>
      <c r="C68" s="3" t="n">
        <v>23</v>
      </c>
      <c r="D68" s="2" t="inlineStr">
        <is>
          <t>TRES HOJAS</t>
        </is>
      </c>
      <c r="E68" s="2" t="inlineStr"/>
      <c r="F68" s="2">
        <f>D23*10%+D23</f>
        <v/>
      </c>
      <c r="G68" s="3" t="n">
        <v>24200</v>
      </c>
      <c r="H68" s="3" t="n">
        <v>22000</v>
      </c>
      <c r="I68" s="3" t="n">
        <v>22000</v>
      </c>
    </row>
    <row r="69">
      <c r="A69" s="2" t="inlineStr">
        <is>
          <t>Hoja7</t>
        </is>
      </c>
      <c r="B69" s="2" t="inlineStr">
        <is>
          <t>PRESUPUESTOS LINEA 5000</t>
        </is>
      </c>
      <c r="C69" s="3" t="n">
        <v>30</v>
      </c>
      <c r="D69" s="2" t="inlineStr">
        <is>
          <t>FECHA:</t>
        </is>
      </c>
      <c r="E69" s="2" t="inlineStr">
        <is>
          <t>IQUIQUE,</t>
        </is>
      </c>
      <c r="F69" s="2" t="inlineStr">
        <is>
          <t>DICIEMBRE 24 DE 1996</t>
        </is>
      </c>
      <c r="G69" s="2" t="inlineStr">
        <is>
          <t>DICIEMBRE 24 DE 1996</t>
        </is>
      </c>
      <c r="H69" s="2" t="inlineStr"/>
      <c r="I69" s="2" t="inlineStr"/>
    </row>
    <row r="70">
      <c r="A70" s="2" t="inlineStr">
        <is>
          <t>Hoja8</t>
        </is>
      </c>
      <c r="B70" s="2" t="inlineStr">
        <is>
          <t>FIJOS CON TUBULAR RECTANGULAR</t>
        </is>
      </c>
      <c r="C70" s="3" t="n">
        <v>8</v>
      </c>
      <c r="D70" s="2" t="inlineStr">
        <is>
          <t>ARTICULO</t>
        </is>
      </c>
      <c r="E70" s="2" t="inlineStr">
        <is>
          <t>NRO.</t>
        </is>
      </c>
      <c r="F70" s="2" t="inlineStr">
        <is>
          <t>TIRA $</t>
        </is>
      </c>
      <c r="G70" s="2" t="inlineStr">
        <is>
          <t>TIRA $</t>
        </is>
      </c>
      <c r="H70" s="2" t="inlineStr">
        <is>
          <t>CAFE</t>
        </is>
      </c>
      <c r="I70" s="2" t="inlineStr">
        <is>
          <t>CAFE</t>
        </is>
      </c>
    </row>
    <row r="71">
      <c r="A71" s="2" t="inlineStr">
        <is>
          <t>Hoja8</t>
        </is>
      </c>
      <c r="B71" s="2" t="inlineStr">
        <is>
          <t>FIJOS CON TUBULAR RECTANGULAR</t>
        </is>
      </c>
      <c r="C71" s="3" t="n">
        <v>10</v>
      </c>
      <c r="D71" s="2" t="inlineStr">
        <is>
          <t>TUBO RECT.</t>
        </is>
      </c>
      <c r="E71" s="2" t="inlineStr">
        <is>
          <t>30x60</t>
        </is>
      </c>
      <c r="F71" s="3" t="n">
        <v>19971</v>
      </c>
      <c r="G71" s="3" t="n">
        <v>19971</v>
      </c>
      <c r="H71" s="3" t="n">
        <v>25645</v>
      </c>
      <c r="I71" s="3" t="n">
        <v>25645</v>
      </c>
    </row>
    <row r="72">
      <c r="A72" s="2" t="inlineStr">
        <is>
          <t>Hoja8</t>
        </is>
      </c>
      <c r="B72" s="2" t="inlineStr">
        <is>
          <t>FIJOS CON TUBULAR RECTANGULAR</t>
        </is>
      </c>
      <c r="C72" s="3" t="n">
        <v>11</v>
      </c>
      <c r="D72" s="2" t="inlineStr">
        <is>
          <t>TUBO RECT.</t>
        </is>
      </c>
      <c r="E72" s="2" t="inlineStr">
        <is>
          <t>40x80</t>
        </is>
      </c>
      <c r="F72" s="3" t="n">
        <v>25485</v>
      </c>
      <c r="G72" s="3" t="n">
        <v>25485</v>
      </c>
      <c r="H72" s="3" t="n">
        <v>43760</v>
      </c>
      <c r="I72" s="3" t="n">
        <v>43760</v>
      </c>
    </row>
    <row r="73">
      <c r="A73" s="2" t="inlineStr">
        <is>
          <t>Hoja8</t>
        </is>
      </c>
      <c r="B73" s="2" t="inlineStr">
        <is>
          <t>FIJOS CON TUBULAR RECTANGULAR</t>
        </is>
      </c>
      <c r="C73" s="3" t="n">
        <v>12</v>
      </c>
      <c r="D73" s="2" t="inlineStr">
        <is>
          <t>JUNQ10/10</t>
        </is>
      </c>
      <c r="E73" s="3" t="n">
        <v>5051</v>
      </c>
      <c r="F73" s="3" t="n">
        <v>2819</v>
      </c>
      <c r="G73" s="3" t="n">
        <v>2819</v>
      </c>
      <c r="H73" s="3" t="n">
        <v>3306</v>
      </c>
      <c r="I73" s="3" t="n">
        <v>3306</v>
      </c>
    </row>
    <row r="74">
      <c r="A74" s="2" t="inlineStr">
        <is>
          <t>Hoja8</t>
        </is>
      </c>
      <c r="B74" s="2" t="inlineStr">
        <is>
          <t>FIJOS CON TUBULAR RECTANGULAR</t>
        </is>
      </c>
      <c r="C74" s="3" t="n">
        <v>13</v>
      </c>
      <c r="D74" s="2" t="inlineStr">
        <is>
          <t>JUNQ20/12</t>
        </is>
      </c>
      <c r="E74" s="3" t="n">
        <v>5029</v>
      </c>
      <c r="F74" s="3" t="n">
        <v>4204</v>
      </c>
      <c r="G74" s="3" t="n">
        <v>4204</v>
      </c>
      <c r="H74" s="3" t="n">
        <v>4931</v>
      </c>
      <c r="I74" s="3" t="n">
        <v>4931</v>
      </c>
    </row>
    <row r="75">
      <c r="A75" s="2" t="inlineStr">
        <is>
          <t>Hoja8</t>
        </is>
      </c>
      <c r="B75" s="2" t="inlineStr">
        <is>
          <t>FIJOS CON TUBULAR RECTANGULAR</t>
        </is>
      </c>
      <c r="C75" s="3" t="n">
        <v>14</v>
      </c>
      <c r="D75" s="2" t="inlineStr">
        <is>
          <t>TUBO30/60</t>
        </is>
      </c>
      <c r="E75" s="2" t="inlineStr">
        <is>
          <t>R-05</t>
        </is>
      </c>
      <c r="F75" s="3" t="n">
        <v>19971</v>
      </c>
      <c r="G75" s="3" t="n">
        <v>19971</v>
      </c>
      <c r="H75" s="3" t="n">
        <v>20093</v>
      </c>
      <c r="I75" s="3" t="n">
        <v>20093</v>
      </c>
    </row>
    <row r="76">
      <c r="A76" s="2" t="inlineStr">
        <is>
          <t>Hoja8</t>
        </is>
      </c>
      <c r="B76" s="2" t="inlineStr">
        <is>
          <t>FIJOS CON TUBULAR RECTANGULAR</t>
        </is>
      </c>
      <c r="C76" s="3" t="n">
        <v>15</v>
      </c>
      <c r="D76" s="2" t="inlineStr">
        <is>
          <t xml:space="preserve">PLACA </t>
        </is>
      </c>
      <c r="E76" s="3" t="n">
        <v>67</v>
      </c>
      <c r="F76" s="3" t="n">
        <v>30000</v>
      </c>
      <c r="G76" s="3" t="n">
        <v>30000</v>
      </c>
      <c r="H76" s="3" t="n">
        <v>30000</v>
      </c>
      <c r="I76" s="3" t="n">
        <v>30000</v>
      </c>
    </row>
    <row r="77">
      <c r="A77" s="2" t="inlineStr">
        <is>
          <t>Hoja8</t>
        </is>
      </c>
      <c r="B77" s="2" t="inlineStr">
        <is>
          <t>FIJOS CON TUBULAR RECTANGULAR</t>
        </is>
      </c>
      <c r="C77" s="3" t="n">
        <v>19</v>
      </c>
      <c r="D77" s="2" t="inlineStr">
        <is>
          <t>SILICONA</t>
        </is>
      </c>
      <c r="E77" s="2" t="inlineStr"/>
      <c r="F77" s="3" t="n">
        <v>1300</v>
      </c>
      <c r="G77" s="3" t="n">
        <v>1300</v>
      </c>
      <c r="H77" s="3" t="n">
        <v>1950</v>
      </c>
      <c r="I77" s="3" t="n">
        <v>1950</v>
      </c>
    </row>
    <row r="78">
      <c r="A78" s="2" t="inlineStr">
        <is>
          <t>Hoja8</t>
        </is>
      </c>
      <c r="B78" s="2" t="inlineStr">
        <is>
          <t>FIJOS CON TUBULAR RECTANGULAR</t>
        </is>
      </c>
      <c r="C78" s="3" t="n">
        <v>20</v>
      </c>
      <c r="D78" s="2" t="inlineStr">
        <is>
          <t>TAR.TORN.</t>
        </is>
      </c>
      <c r="E78" s="2" t="inlineStr"/>
      <c r="F78" s="3" t="n">
        <v>1500</v>
      </c>
      <c r="G78" s="3" t="n">
        <v>1500</v>
      </c>
      <c r="H78" s="3" t="n">
        <v>1500</v>
      </c>
      <c r="I78" s="3" t="n">
        <v>1500</v>
      </c>
    </row>
    <row r="79">
      <c r="A79" s="2" t="inlineStr">
        <is>
          <t>Hoja8</t>
        </is>
      </c>
      <c r="B79" s="2" t="inlineStr">
        <is>
          <t>FIJOS CON TUBULAR RECTANGULAR</t>
        </is>
      </c>
      <c r="C79" s="3" t="n">
        <v>21</v>
      </c>
      <c r="D79" s="2" t="inlineStr">
        <is>
          <t>M.OBRA</t>
        </is>
      </c>
      <c r="E79" s="3" t="n">
        <v>0</v>
      </c>
      <c r="F79" s="2">
        <f>C23*10%+C23</f>
        <v/>
      </c>
      <c r="G79" s="3" t="n">
        <v>19800</v>
      </c>
      <c r="H79" s="2">
        <f>D23*10%+D23</f>
        <v/>
      </c>
      <c r="I79" s="3" t="n">
        <v>26400</v>
      </c>
    </row>
    <row r="80">
      <c r="A80" s="2" t="inlineStr">
        <is>
          <t>Hoja9</t>
        </is>
      </c>
      <c r="B80" s="2" t="inlineStr">
        <is>
          <t>FIJOS CON CENTRO DE PUERTA</t>
        </is>
      </c>
      <c r="C80" s="3" t="n">
        <v>8</v>
      </c>
      <c r="D80" s="2" t="inlineStr">
        <is>
          <t>ARTICULO</t>
        </is>
      </c>
      <c r="E80" s="2" t="inlineStr">
        <is>
          <t>NRO.</t>
        </is>
      </c>
      <c r="F80" s="2" t="inlineStr">
        <is>
          <t>TIRA $</t>
        </is>
      </c>
      <c r="G80" s="2" t="inlineStr">
        <is>
          <t>TIRA $</t>
        </is>
      </c>
      <c r="H80" s="2" t="inlineStr">
        <is>
          <t>CAFE</t>
        </is>
      </c>
      <c r="I80" s="2" t="inlineStr">
        <is>
          <t>CAFE</t>
        </is>
      </c>
    </row>
    <row r="81">
      <c r="A81" s="2" t="inlineStr">
        <is>
          <t>Hoja9</t>
        </is>
      </c>
      <c r="B81" s="2" t="inlineStr">
        <is>
          <t>FIJOS CON CENTRO DE PUERTA</t>
        </is>
      </c>
      <c r="C81" s="3" t="n">
        <v>10</v>
      </c>
      <c r="D81" s="2" t="inlineStr">
        <is>
          <t>CENTRO P.</t>
        </is>
      </c>
      <c r="E81" s="3" t="n">
        <v>7095</v>
      </c>
      <c r="F81" s="3" t="n">
        <v>10473</v>
      </c>
      <c r="G81" s="3" t="n">
        <v>10473</v>
      </c>
      <c r="H81" s="3" t="n">
        <v>11040</v>
      </c>
      <c r="I81" s="3" t="n">
        <v>11040</v>
      </c>
    </row>
    <row r="82">
      <c r="A82" s="2" t="inlineStr">
        <is>
          <t>Hoja9</t>
        </is>
      </c>
      <c r="B82" s="2" t="inlineStr">
        <is>
          <t>FIJOS CON CENTRO DE PUERTA</t>
        </is>
      </c>
      <c r="C82" s="3" t="n">
        <v>11</v>
      </c>
      <c r="D82" s="2" t="inlineStr">
        <is>
          <t>CENTRO P.</t>
        </is>
      </c>
      <c r="E82" s="3" t="n">
        <v>5034</v>
      </c>
      <c r="F82" s="3" t="n">
        <v>14382</v>
      </c>
      <c r="G82" s="3" t="n">
        <v>14382</v>
      </c>
      <c r="H82" s="3" t="n">
        <v>16920</v>
      </c>
      <c r="I82" s="3" t="n">
        <v>16920</v>
      </c>
    </row>
    <row r="83">
      <c r="A83" s="2" t="inlineStr">
        <is>
          <t>Hoja9</t>
        </is>
      </c>
      <c r="B83" s="2" t="inlineStr">
        <is>
          <t>FIJOS CON CENTRO DE PUERTA</t>
        </is>
      </c>
      <c r="C83" s="3" t="n">
        <v>12</v>
      </c>
      <c r="D83" s="2" t="inlineStr">
        <is>
          <t>JUNQ10/10</t>
        </is>
      </c>
      <c r="E83" s="3" t="n">
        <v>5009</v>
      </c>
      <c r="F83" s="3" t="n">
        <v>2627</v>
      </c>
      <c r="G83" s="3" t="n">
        <v>2627</v>
      </c>
      <c r="H83" s="3" t="n">
        <v>3090</v>
      </c>
      <c r="I83" s="3" t="n">
        <v>3090</v>
      </c>
    </row>
    <row r="84">
      <c r="A84" s="2" t="inlineStr">
        <is>
          <t>Hoja9</t>
        </is>
      </c>
      <c r="B84" s="2" t="inlineStr">
        <is>
          <t>FIJOS CON CENTRO DE PUERTA</t>
        </is>
      </c>
      <c r="C84" s="3" t="n">
        <v>13</v>
      </c>
      <c r="D84" s="2" t="inlineStr">
        <is>
          <t>JUNQ20/12</t>
        </is>
      </c>
      <c r="E84" s="3" t="n">
        <v>5098</v>
      </c>
      <c r="F84" s="3" t="n">
        <v>3902</v>
      </c>
      <c r="G84" s="3" t="n">
        <v>3902</v>
      </c>
      <c r="H84" s="3" t="n">
        <v>4590</v>
      </c>
      <c r="I84" s="3" t="n">
        <v>4590</v>
      </c>
    </row>
    <row r="85">
      <c r="A85" s="2" t="inlineStr">
        <is>
          <t>Hoja9</t>
        </is>
      </c>
      <c r="B85" s="2" t="inlineStr">
        <is>
          <t>FIJOS CON CENTRO DE PUERTA</t>
        </is>
      </c>
      <c r="C85" s="3" t="n">
        <v>14</v>
      </c>
      <c r="D85" s="2" t="inlineStr">
        <is>
          <t>TUBO30/60</t>
        </is>
      </c>
      <c r="E85" s="2" t="inlineStr">
        <is>
          <t>R-05</t>
        </is>
      </c>
      <c r="F85" s="3" t="n">
        <v>17978</v>
      </c>
      <c r="G85" s="3" t="n">
        <v>17978</v>
      </c>
      <c r="H85" s="3" t="n">
        <v>21150</v>
      </c>
      <c r="I85" s="3" t="n">
        <v>21150</v>
      </c>
    </row>
    <row r="86">
      <c r="A86" s="2" t="inlineStr">
        <is>
          <t>Hoja9</t>
        </is>
      </c>
      <c r="B86" s="2" t="inlineStr">
        <is>
          <t>FIJOS CON CENTRO DE PUERTA</t>
        </is>
      </c>
      <c r="C86" s="3" t="n">
        <v>17</v>
      </c>
      <c r="D86" s="2" t="inlineStr">
        <is>
          <t>SILICONA</t>
        </is>
      </c>
      <c r="E86" s="2" t="inlineStr"/>
      <c r="F86" s="3" t="n">
        <v>1300</v>
      </c>
      <c r="G86" s="3" t="n">
        <v>1300</v>
      </c>
      <c r="H86" s="3" t="n">
        <v>1950</v>
      </c>
      <c r="I86" s="3" t="n">
        <v>1950</v>
      </c>
    </row>
    <row r="87">
      <c r="A87" s="2" t="inlineStr">
        <is>
          <t>Hoja9</t>
        </is>
      </c>
      <c r="B87" s="2" t="inlineStr">
        <is>
          <t>FIJOS CON CENTRO DE PUERTA</t>
        </is>
      </c>
      <c r="C87" s="3" t="n">
        <v>18</v>
      </c>
      <c r="D87" s="2" t="inlineStr">
        <is>
          <t>TAR.TORN.</t>
        </is>
      </c>
      <c r="E87" s="2" t="inlineStr"/>
      <c r="F87" s="3" t="n">
        <v>500</v>
      </c>
      <c r="G87" s="3" t="n">
        <v>500</v>
      </c>
      <c r="H87" s="3" t="n">
        <v>1000</v>
      </c>
      <c r="I87" s="3" t="n">
        <v>1000</v>
      </c>
    </row>
    <row r="88">
      <c r="A88" s="2" t="inlineStr">
        <is>
          <t>Hoja9</t>
        </is>
      </c>
      <c r="B88" s="2" t="inlineStr">
        <is>
          <t>FIJOS CON CENTRO DE PUERTA</t>
        </is>
      </c>
      <c r="C88" s="3" t="n">
        <v>19</v>
      </c>
      <c r="D88" s="2" t="inlineStr">
        <is>
          <t>M.OBRA</t>
        </is>
      </c>
      <c r="E88" s="3" t="n">
        <v>0</v>
      </c>
      <c r="F88" s="2">
        <f>C21*10%+C21</f>
        <v/>
      </c>
      <c r="G88" s="3" t="n">
        <v>13200</v>
      </c>
      <c r="H88" s="2">
        <f>D21*10%+D21</f>
        <v/>
      </c>
      <c r="I88" s="3" t="n">
        <v>17600</v>
      </c>
    </row>
    <row r="89">
      <c r="A89" s="2" t="inlineStr">
        <is>
          <t>Hoja10</t>
        </is>
      </c>
      <c r="B89" s="2" t="inlineStr">
        <is>
          <t>PRESUPUESTOS LINEA 8000</t>
        </is>
      </c>
      <c r="C89" s="3" t="n">
        <v>8</v>
      </c>
      <c r="D89" s="2" t="inlineStr">
        <is>
          <t>ARTICULO</t>
        </is>
      </c>
      <c r="E89" s="2" t="inlineStr">
        <is>
          <t>NRO.</t>
        </is>
      </c>
      <c r="F89" s="2" t="inlineStr">
        <is>
          <t>TIRA $</t>
        </is>
      </c>
      <c r="G89" s="2" t="inlineStr">
        <is>
          <t>TIRA $</t>
        </is>
      </c>
      <c r="H89" s="2" t="inlineStr">
        <is>
          <t>CAFE</t>
        </is>
      </c>
      <c r="I89" s="2" t="inlineStr">
        <is>
          <t>CAFE</t>
        </is>
      </c>
    </row>
    <row r="90">
      <c r="A90" s="2" t="inlineStr">
        <is>
          <t>Hoja10</t>
        </is>
      </c>
      <c r="B90" s="2" t="inlineStr">
        <is>
          <t>PRESUPUESTOS LINEA 8000</t>
        </is>
      </c>
      <c r="C90" s="3" t="n">
        <v>10</v>
      </c>
      <c r="D90" s="2" t="inlineStr">
        <is>
          <t>RIEL INF.</t>
        </is>
      </c>
      <c r="E90" s="3" t="n">
        <v>8001</v>
      </c>
      <c r="F90" s="3" t="n">
        <v>30540</v>
      </c>
      <c r="G90" s="3" t="n">
        <v>30540</v>
      </c>
      <c r="H90" s="3" t="n">
        <v>32990</v>
      </c>
      <c r="I90" s="3" t="n">
        <v>32990</v>
      </c>
    </row>
    <row r="91">
      <c r="A91" s="2" t="inlineStr">
        <is>
          <t>Hoja10</t>
        </is>
      </c>
      <c r="B91" s="2" t="inlineStr">
        <is>
          <t>PRESUPUESTOS LINEA 8000</t>
        </is>
      </c>
      <c r="C91" s="3" t="n">
        <v>11</v>
      </c>
      <c r="D91" s="2" t="inlineStr">
        <is>
          <t>RIEL SUP.</t>
        </is>
      </c>
      <c r="E91" s="3" t="n">
        <v>8002</v>
      </c>
      <c r="F91" s="3" t="n">
        <v>31300</v>
      </c>
      <c r="G91" s="3" t="n">
        <v>31300</v>
      </c>
      <c r="H91" s="3" t="n">
        <v>33800</v>
      </c>
      <c r="I91" s="3" t="n">
        <v>33800</v>
      </c>
    </row>
    <row r="92">
      <c r="A92" s="2" t="inlineStr">
        <is>
          <t>Hoja10</t>
        </is>
      </c>
      <c r="B92" s="2" t="inlineStr">
        <is>
          <t>PRESUPUESTOS LINEA 8000</t>
        </is>
      </c>
      <c r="C92" s="3" t="n">
        <v>12</v>
      </c>
      <c r="D92" s="2" t="inlineStr">
        <is>
          <t>JAMBA</t>
        </is>
      </c>
      <c r="E92" s="3" t="n">
        <v>8003</v>
      </c>
      <c r="F92" s="3" t="n">
        <v>23290</v>
      </c>
      <c r="G92" s="3" t="n">
        <v>23290</v>
      </c>
      <c r="H92" s="3" t="n">
        <v>25160</v>
      </c>
      <c r="I92" s="3" t="n">
        <v>25160</v>
      </c>
    </row>
    <row r="93">
      <c r="A93" s="2" t="inlineStr">
        <is>
          <t>Hoja10</t>
        </is>
      </c>
      <c r="B93" s="2" t="inlineStr">
        <is>
          <t>PRESUPUESTOS LINEA 8000</t>
        </is>
      </c>
      <c r="C93" s="3" t="n">
        <v>13</v>
      </c>
      <c r="D93" s="2" t="inlineStr">
        <is>
          <t>CAB.INF.</t>
        </is>
      </c>
      <c r="E93" s="3" t="n">
        <v>8004</v>
      </c>
      <c r="F93" s="3" t="n">
        <v>28560</v>
      </c>
      <c r="G93" s="3" t="n">
        <v>28560</v>
      </c>
      <c r="H93" s="3" t="n">
        <v>30860</v>
      </c>
      <c r="I93" s="3" t="n">
        <v>30860</v>
      </c>
    </row>
    <row r="94">
      <c r="A94" s="2" t="inlineStr">
        <is>
          <t>Hoja10</t>
        </is>
      </c>
      <c r="B94" s="2" t="inlineStr">
        <is>
          <t>PRESUPUESTOS LINEA 8000</t>
        </is>
      </c>
      <c r="C94" s="3" t="n">
        <v>14</v>
      </c>
      <c r="D94" s="2" t="inlineStr">
        <is>
          <t>CAB.SUP.</t>
        </is>
      </c>
      <c r="E94" s="3" t="n">
        <v>8005</v>
      </c>
      <c r="F94" s="3" t="n">
        <v>20190</v>
      </c>
      <c r="G94" s="3" t="n">
        <v>20190</v>
      </c>
      <c r="H94" s="3" t="n">
        <v>21800</v>
      </c>
      <c r="I94" s="3" t="n">
        <v>21800</v>
      </c>
    </row>
    <row r="95">
      <c r="A95" s="2" t="inlineStr">
        <is>
          <t>Hoja10</t>
        </is>
      </c>
      <c r="B95" s="2" t="inlineStr">
        <is>
          <t>PRESUPUESTOS LINEA 8000</t>
        </is>
      </c>
      <c r="C95" s="3" t="n">
        <v>15</v>
      </c>
      <c r="D95" s="2" t="inlineStr">
        <is>
          <t>TRASLAPO</t>
        </is>
      </c>
      <c r="E95" s="3" t="n">
        <v>8006</v>
      </c>
      <c r="F95" s="3" t="n">
        <v>24780</v>
      </c>
      <c r="G95" s="3" t="n">
        <v>24780</v>
      </c>
      <c r="H95" s="3" t="n">
        <v>26760</v>
      </c>
      <c r="I95" s="3" t="n">
        <v>26760</v>
      </c>
    </row>
    <row r="96">
      <c r="A96" s="2" t="inlineStr">
        <is>
          <t>Hoja10</t>
        </is>
      </c>
      <c r="B96" s="2" t="inlineStr">
        <is>
          <t>PRESUPUESTOS LINEA 8000</t>
        </is>
      </c>
      <c r="C96" s="3" t="n">
        <v>16</v>
      </c>
      <c r="D96" s="2" t="inlineStr">
        <is>
          <t>PIERNA</t>
        </is>
      </c>
      <c r="E96" s="3" t="n">
        <v>8007</v>
      </c>
      <c r="F96" s="3" t="n">
        <v>24210</v>
      </c>
      <c r="G96" s="3" t="n">
        <v>24210</v>
      </c>
      <c r="H96" s="3" t="n">
        <v>26150</v>
      </c>
      <c r="I96" s="3" t="n">
        <v>26150</v>
      </c>
    </row>
    <row r="97">
      <c r="A97" s="2" t="inlineStr">
        <is>
          <t>Hoja10</t>
        </is>
      </c>
      <c r="B97" s="2" t="inlineStr">
        <is>
          <t>PRESUPUESTOS LINEA 8000</t>
        </is>
      </c>
      <c r="C97" s="3" t="n">
        <v>17</v>
      </c>
      <c r="D97" s="2" t="inlineStr">
        <is>
          <t>PALILLO</t>
        </is>
      </c>
      <c r="E97" s="3" t="n">
        <v>8013</v>
      </c>
      <c r="F97" s="3" t="n">
        <v>22370</v>
      </c>
      <c r="G97" s="3" t="n">
        <v>22370</v>
      </c>
      <c r="H97" s="3" t="n">
        <v>24170</v>
      </c>
      <c r="I97" s="3" t="n">
        <v>24170</v>
      </c>
    </row>
    <row r="98">
      <c r="A98" s="2" t="inlineStr">
        <is>
          <t>Hoja10</t>
        </is>
      </c>
      <c r="B98" s="2" t="inlineStr">
        <is>
          <t>PRESUPUESTOS LINEA 8000</t>
        </is>
      </c>
      <c r="C98" s="3" t="n">
        <v>18</v>
      </c>
      <c r="D98" s="2" t="inlineStr">
        <is>
          <t>PERF.4A.HOJA</t>
        </is>
      </c>
      <c r="E98" s="3" t="n">
        <v>8017</v>
      </c>
      <c r="F98" s="3" t="n">
        <v>5030</v>
      </c>
      <c r="G98" s="3" t="n">
        <v>5030</v>
      </c>
      <c r="H98" s="3" t="n">
        <v>5900</v>
      </c>
      <c r="I98" s="3" t="n">
        <v>5900</v>
      </c>
    </row>
    <row r="99">
      <c r="A99" s="2" t="inlineStr">
        <is>
          <t>Hoja10</t>
        </is>
      </c>
      <c r="B99" s="2" t="inlineStr">
        <is>
          <t>PRESUPUESTOS LINEA 8000</t>
        </is>
      </c>
      <c r="C99" s="3" t="n">
        <v>19</v>
      </c>
      <c r="D99" s="2" t="inlineStr">
        <is>
          <t>PLACA AL.</t>
        </is>
      </c>
      <c r="E99" s="3" t="n">
        <v>5859</v>
      </c>
      <c r="F99" s="3" t="n">
        <v>21150</v>
      </c>
      <c r="G99" s="3" t="n">
        <v>21150</v>
      </c>
      <c r="H99" s="3" t="n">
        <v>22850</v>
      </c>
      <c r="I99" s="3" t="n">
        <v>22850</v>
      </c>
    </row>
    <row r="100">
      <c r="A100" s="2" t="inlineStr">
        <is>
          <t>Hoja10</t>
        </is>
      </c>
      <c r="B100" s="2" t="inlineStr">
        <is>
          <t>PRESUPUESTOS LINEA 8000</t>
        </is>
      </c>
      <c r="C100" s="3" t="n">
        <v>22</v>
      </c>
      <c r="D100" s="2" t="inlineStr">
        <is>
          <t>M2 FORM/MAS.</t>
        </is>
      </c>
      <c r="E100" s="2" t="inlineStr"/>
      <c r="F100" s="3" t="n">
        <v>18000</v>
      </c>
      <c r="G100" s="3" t="n">
        <v>18000</v>
      </c>
      <c r="H100" s="3" t="n">
        <v>18000</v>
      </c>
      <c r="I100" s="3" t="n">
        <v>18000</v>
      </c>
    </row>
    <row r="101">
      <c r="A101" s="2" t="inlineStr">
        <is>
          <t>Hoja10</t>
        </is>
      </c>
      <c r="B101" s="2" t="inlineStr">
        <is>
          <t>PRESUPUESTOS LINEA 8000</t>
        </is>
      </c>
      <c r="C101" s="3" t="n">
        <v>23</v>
      </c>
      <c r="D101" s="2" t="inlineStr">
        <is>
          <t>M2 PLACA:</t>
        </is>
      </c>
      <c r="E101" s="2" t="inlineStr"/>
      <c r="F101" s="3" t="n">
        <v>21150</v>
      </c>
      <c r="G101" s="3" t="n">
        <v>21150</v>
      </c>
      <c r="H101" s="3" t="n">
        <v>22850</v>
      </c>
      <c r="I101" s="3" t="n">
        <v>22850</v>
      </c>
    </row>
    <row r="102">
      <c r="A102" s="2" t="inlineStr">
        <is>
          <t>Hoja10</t>
        </is>
      </c>
      <c r="B102" s="2" t="inlineStr">
        <is>
          <t>PRESUPUESTOS LINEA 8000</t>
        </is>
      </c>
      <c r="C102" s="3" t="n">
        <v>24</v>
      </c>
      <c r="D102" s="2" t="inlineStr">
        <is>
          <t>TUBO RECT.</t>
        </is>
      </c>
      <c r="E102" s="2" t="inlineStr">
        <is>
          <t>[30x60]</t>
        </is>
      </c>
      <c r="F102" s="3" t="n">
        <v>28420</v>
      </c>
      <c r="G102" s="3" t="n">
        <v>28420</v>
      </c>
      <c r="H102" s="3" t="n">
        <v>30690</v>
      </c>
      <c r="I102" s="3" t="n">
        <v>30690</v>
      </c>
    </row>
    <row r="103">
      <c r="A103" s="2" t="inlineStr">
        <is>
          <t>Hoja10</t>
        </is>
      </c>
      <c r="B103" s="2" t="inlineStr">
        <is>
          <t>PRESUPUESTOS LINEA 8000</t>
        </is>
      </c>
      <c r="C103" s="3" t="n">
        <v>25</v>
      </c>
      <c r="D103" s="2" t="inlineStr">
        <is>
          <t>TUBO RECT</t>
        </is>
      </c>
      <c r="E103" s="2" t="inlineStr">
        <is>
          <t>[76x25]</t>
        </is>
      </c>
      <c r="F103" s="3" t="n">
        <v>28590</v>
      </c>
      <c r="G103" s="3" t="n">
        <v>28590</v>
      </c>
      <c r="H103" s="3" t="n">
        <v>30880</v>
      </c>
      <c r="I103" s="3" t="n">
        <v>30880</v>
      </c>
    </row>
    <row r="104">
      <c r="A104" s="2" t="inlineStr">
        <is>
          <t>Hoja10</t>
        </is>
      </c>
      <c r="B104" s="2" t="inlineStr">
        <is>
          <t>PRESUPUESTOS LINEA 8000</t>
        </is>
      </c>
      <c r="C104" s="3" t="n">
        <v>28</v>
      </c>
      <c r="D104" s="3" t="n">
        <v>2</v>
      </c>
      <c r="E104" s="2" t="inlineStr">
        <is>
          <t>HOJAS</t>
        </is>
      </c>
      <c r="F104" s="2">
        <f>D28*10%+D28</f>
        <v/>
      </c>
      <c r="G104" s="3" t="n">
        <v>37400</v>
      </c>
      <c r="H104" s="3" t="n">
        <v>34000</v>
      </c>
      <c r="I104" s="3" t="n">
        <v>34000</v>
      </c>
    </row>
    <row r="105">
      <c r="A105" s="2" t="inlineStr">
        <is>
          <t>Hoja10</t>
        </is>
      </c>
      <c r="B105" s="2" t="inlineStr">
        <is>
          <t>PRESUPUESTOS LINEA 8000</t>
        </is>
      </c>
      <c r="C105" s="3" t="n">
        <v>29</v>
      </c>
      <c r="D105" s="3" t="n">
        <v>3</v>
      </c>
      <c r="E105" s="2" t="inlineStr">
        <is>
          <t>HOJAS</t>
        </is>
      </c>
      <c r="F105" s="2">
        <f>D29*10%+D29</f>
        <v/>
      </c>
      <c r="G105" s="3" t="n">
        <v>48400</v>
      </c>
      <c r="H105" s="3" t="n">
        <v>44000</v>
      </c>
      <c r="I105" s="3" t="n">
        <v>44000</v>
      </c>
    </row>
    <row r="106">
      <c r="A106" s="2" t="inlineStr">
        <is>
          <t>Hoja10</t>
        </is>
      </c>
      <c r="B106" s="2" t="inlineStr">
        <is>
          <t>PRESUPUESTOS LINEA 8000</t>
        </is>
      </c>
      <c r="C106" s="3" t="n">
        <v>30</v>
      </c>
      <c r="D106" s="3" t="n">
        <v>4</v>
      </c>
      <c r="E106" s="2" t="inlineStr">
        <is>
          <t>HOJAS</t>
        </is>
      </c>
      <c r="F106" s="2">
        <f>D30*10%+D30</f>
        <v/>
      </c>
      <c r="G106" s="3" t="n">
        <v>64900</v>
      </c>
      <c r="H106" s="3" t="n">
        <v>59000</v>
      </c>
      <c r="I106" s="3" t="n">
        <v>59000</v>
      </c>
    </row>
    <row r="107">
      <c r="A107" s="2" t="inlineStr">
        <is>
          <t>Hoja11</t>
        </is>
      </c>
      <c r="B107" s="2" t="inlineStr">
        <is>
          <t>CELOSIAS</t>
        </is>
      </c>
      <c r="C107" s="3" t="n">
        <v>8</v>
      </c>
      <c r="D107" s="2" t="inlineStr">
        <is>
          <t>ARTICULO</t>
        </is>
      </c>
      <c r="E107" s="2" t="inlineStr">
        <is>
          <t>NRO.</t>
        </is>
      </c>
      <c r="F107" s="2" t="inlineStr">
        <is>
          <t>TIRA $</t>
        </is>
      </c>
      <c r="G107" s="2" t="inlineStr">
        <is>
          <t>TIRA $</t>
        </is>
      </c>
      <c r="H107" s="2" t="inlineStr">
        <is>
          <t>CAFE</t>
        </is>
      </c>
      <c r="I107" s="2" t="inlineStr">
        <is>
          <t>CAFE</t>
        </is>
      </c>
    </row>
    <row r="108">
      <c r="A108" s="2" t="inlineStr">
        <is>
          <t>Hoja11</t>
        </is>
      </c>
      <c r="B108" s="2" t="inlineStr">
        <is>
          <t>CELOSIAS</t>
        </is>
      </c>
      <c r="C108" s="3" t="n">
        <v>10</v>
      </c>
      <c r="D108" s="2" t="inlineStr">
        <is>
          <t>MARCO</t>
        </is>
      </c>
      <c r="E108" s="3" t="n">
        <v>3201</v>
      </c>
      <c r="F108" s="3" t="n">
        <v>7752</v>
      </c>
      <c r="G108" s="3" t="n">
        <v>7752</v>
      </c>
      <c r="H108" s="3" t="n">
        <v>9092</v>
      </c>
      <c r="I108" s="3" t="n">
        <v>9092</v>
      </c>
    </row>
    <row r="109">
      <c r="A109" s="2" t="inlineStr">
        <is>
          <t>Hoja11</t>
        </is>
      </c>
      <c r="B109" s="2" t="inlineStr">
        <is>
          <t>CELOSIAS</t>
        </is>
      </c>
      <c r="C109" s="3" t="n">
        <v>11</v>
      </c>
      <c r="D109" s="2" t="inlineStr">
        <is>
          <t>JUNQUILLO</t>
        </is>
      </c>
      <c r="E109" s="3" t="n">
        <v>3203</v>
      </c>
      <c r="F109" s="3" t="n">
        <v>3669</v>
      </c>
      <c r="G109" s="3" t="n">
        <v>3669</v>
      </c>
      <c r="H109" s="3" t="n">
        <v>4304</v>
      </c>
      <c r="I109" s="3" t="n">
        <v>4304</v>
      </c>
    </row>
    <row r="110">
      <c r="A110" s="2" t="inlineStr">
        <is>
          <t>Hoja11</t>
        </is>
      </c>
      <c r="B110" s="2" t="inlineStr">
        <is>
          <t>CELOSIAS</t>
        </is>
      </c>
      <c r="C110" s="3" t="n">
        <v>12</v>
      </c>
      <c r="D110" s="2" t="inlineStr">
        <is>
          <t>PILAR MAR</t>
        </is>
      </c>
      <c r="E110" s="3" t="n">
        <v>3204</v>
      </c>
      <c r="F110" s="3" t="n">
        <v>13851</v>
      </c>
      <c r="G110" s="3" t="n">
        <v>13851</v>
      </c>
      <c r="H110" s="3" t="n">
        <v>16245</v>
      </c>
      <c r="I110" s="3" t="n">
        <v>16245</v>
      </c>
    </row>
    <row r="111">
      <c r="A111" s="2" t="inlineStr">
        <is>
          <t>Hoja11</t>
        </is>
      </c>
      <c r="B111" s="2" t="inlineStr">
        <is>
          <t>CELOSIAS</t>
        </is>
      </c>
      <c r="C111" s="3" t="n">
        <v>14</v>
      </c>
      <c r="D111" s="2" t="inlineStr">
        <is>
          <t>TUBO RECT.</t>
        </is>
      </c>
      <c r="E111" s="2" t="inlineStr">
        <is>
          <t>[30x60]</t>
        </is>
      </c>
      <c r="F111" s="3" t="n">
        <v>17978</v>
      </c>
      <c r="G111" s="3" t="n">
        <v>17978</v>
      </c>
      <c r="H111" s="3" t="n">
        <v>21150</v>
      </c>
      <c r="I111" s="3" t="n">
        <v>21150</v>
      </c>
    </row>
    <row r="112">
      <c r="A112" s="2" t="inlineStr">
        <is>
          <t>Hoja11</t>
        </is>
      </c>
      <c r="B112" s="2" t="inlineStr">
        <is>
          <t>CELOSIAS</t>
        </is>
      </c>
      <c r="C112" s="3" t="n">
        <v>15</v>
      </c>
      <c r="D112" s="2" t="inlineStr">
        <is>
          <t>TUBO RECT</t>
        </is>
      </c>
      <c r="E112" s="2" t="inlineStr">
        <is>
          <t>[76x25]</t>
        </is>
      </c>
      <c r="F112" s="3" t="n">
        <v>20273</v>
      </c>
      <c r="G112" s="3" t="n">
        <v>20273</v>
      </c>
      <c r="H112" s="3" t="n">
        <v>23850</v>
      </c>
      <c r="I112" s="3" t="n">
        <v>23850</v>
      </c>
    </row>
    <row r="113">
      <c r="A113" s="2" t="inlineStr">
        <is>
          <t>Hoja11</t>
        </is>
      </c>
      <c r="B113" s="2" t="inlineStr">
        <is>
          <t>CELOSIAS</t>
        </is>
      </c>
      <c r="C113" s="3" t="n">
        <v>18</v>
      </c>
      <c r="D113" s="3" t="n">
        <v>1</v>
      </c>
      <c r="E113" s="2" t="inlineStr">
        <is>
          <t>CELOSIAS</t>
        </is>
      </c>
      <c r="F113" s="2">
        <f>C21*10%+C21</f>
        <v/>
      </c>
      <c r="G113" s="3" t="n">
        <v>9900</v>
      </c>
      <c r="H113" s="3" t="n">
        <v>4000</v>
      </c>
      <c r="I113" s="3" t="n">
        <v>4000</v>
      </c>
    </row>
    <row r="114">
      <c r="A114" s="2" t="inlineStr">
        <is>
          <t>Hoja11</t>
        </is>
      </c>
      <c r="B114" s="2" t="inlineStr">
        <is>
          <t>CELOSIAS</t>
        </is>
      </c>
      <c r="C114" s="3" t="n">
        <v>19</v>
      </c>
      <c r="D114" s="3" t="n">
        <v>2</v>
      </c>
      <c r="E114" s="2" t="inlineStr">
        <is>
          <t>FIJO C/CEL</t>
        </is>
      </c>
      <c r="F114" s="2">
        <f>C22*10%+C22</f>
        <v/>
      </c>
      <c r="G114" s="3" t="n">
        <v>11000</v>
      </c>
      <c r="H114" s="3" t="n">
        <v>8000</v>
      </c>
      <c r="I114" s="3" t="n">
        <v>8000</v>
      </c>
    </row>
    <row r="115">
      <c r="A115" s="2" t="inlineStr">
        <is>
          <t>Hoja12</t>
        </is>
      </c>
      <c r="B115" s="2" t="inlineStr">
        <is>
          <t>PRESUPUESTOS LINEA 7000</t>
        </is>
      </c>
      <c r="C115" s="3" t="n">
        <v>8</v>
      </c>
      <c r="D115" s="2" t="inlineStr">
        <is>
          <t>ARTICULO</t>
        </is>
      </c>
      <c r="E115" s="2" t="inlineStr">
        <is>
          <t>NRO.</t>
        </is>
      </c>
      <c r="F115" s="2" t="inlineStr">
        <is>
          <t>TIRA $</t>
        </is>
      </c>
      <c r="G115" s="2" t="inlineStr">
        <is>
          <t>TIRA $</t>
        </is>
      </c>
      <c r="H115" s="2" t="inlineStr">
        <is>
          <t>CAFE</t>
        </is>
      </c>
      <c r="I115" s="2" t="inlineStr">
        <is>
          <t>CAFE</t>
        </is>
      </c>
    </row>
    <row r="116">
      <c r="A116" s="2" t="inlineStr">
        <is>
          <t>Hoja12</t>
        </is>
      </c>
      <c r="B116" s="2" t="inlineStr">
        <is>
          <t>PRESUPUESTOS LINEA 7000</t>
        </is>
      </c>
      <c r="C116" s="3" t="n">
        <v>10</v>
      </c>
      <c r="D116" s="2" t="inlineStr">
        <is>
          <t>RIEL INF.</t>
        </is>
      </c>
      <c r="E116" s="3" t="n">
        <v>7001</v>
      </c>
      <c r="F116" s="3" t="n">
        <v>11275</v>
      </c>
      <c r="G116" s="3" t="n">
        <v>11275</v>
      </c>
      <c r="H116" s="3" t="n">
        <v>13224</v>
      </c>
      <c r="I116" s="3" t="n">
        <v>13224</v>
      </c>
    </row>
    <row r="117">
      <c r="A117" s="2" t="inlineStr">
        <is>
          <t>Hoja12</t>
        </is>
      </c>
      <c r="B117" s="2" t="inlineStr">
        <is>
          <t>PRESUPUESTOS LINEA 7000</t>
        </is>
      </c>
      <c r="C117" s="3" t="n">
        <v>11</v>
      </c>
      <c r="D117" s="2" t="inlineStr">
        <is>
          <t>RIEL SUP.</t>
        </is>
      </c>
      <c r="E117" s="3" t="n">
        <v>7002</v>
      </c>
      <c r="F117" s="3" t="n">
        <v>14167</v>
      </c>
      <c r="G117" s="3" t="n">
        <v>14167</v>
      </c>
      <c r="H117" s="3" t="n">
        <v>16616</v>
      </c>
      <c r="I117" s="3" t="n">
        <v>16616</v>
      </c>
    </row>
    <row r="118">
      <c r="A118" s="2" t="inlineStr">
        <is>
          <t>Hoja12</t>
        </is>
      </c>
      <c r="B118" s="2" t="inlineStr">
        <is>
          <t>PRESUPUESTOS LINEA 7000</t>
        </is>
      </c>
      <c r="C118" s="3" t="n">
        <v>12</v>
      </c>
      <c r="D118" s="2" t="inlineStr">
        <is>
          <t>JAMBA</t>
        </is>
      </c>
      <c r="E118" s="3" t="n">
        <v>7003</v>
      </c>
      <c r="F118" s="3" t="n">
        <v>10303</v>
      </c>
      <c r="G118" s="3" t="n">
        <v>10303</v>
      </c>
      <c r="H118" s="3" t="n">
        <v>12084</v>
      </c>
      <c r="I118" s="3" t="n">
        <v>12084</v>
      </c>
    </row>
    <row r="119">
      <c r="A119" s="2" t="inlineStr">
        <is>
          <t>Hoja12</t>
        </is>
      </c>
      <c r="B119" s="2" t="inlineStr">
        <is>
          <t>PRESUPUESTOS LINEA 7000</t>
        </is>
      </c>
      <c r="C119" s="3" t="n">
        <v>13</v>
      </c>
      <c r="D119" s="2" t="inlineStr">
        <is>
          <t>CAB.INF.</t>
        </is>
      </c>
      <c r="E119" s="3" t="n">
        <v>7004</v>
      </c>
      <c r="F119" s="3" t="n">
        <v>13705</v>
      </c>
      <c r="G119" s="3" t="n">
        <v>13705</v>
      </c>
      <c r="H119" s="3" t="n">
        <v>16074</v>
      </c>
      <c r="I119" s="3" t="n">
        <v>16074</v>
      </c>
    </row>
    <row r="120">
      <c r="A120" s="2" t="inlineStr">
        <is>
          <t>Hoja12</t>
        </is>
      </c>
      <c r="B120" s="2" t="inlineStr">
        <is>
          <t>PRESUPUESTOS LINEA 7000</t>
        </is>
      </c>
      <c r="C120" s="3" t="n">
        <v>14</v>
      </c>
      <c r="D120" s="2" t="inlineStr">
        <is>
          <t>CAB.SUP.</t>
        </is>
      </c>
      <c r="E120" s="3" t="n">
        <v>7005</v>
      </c>
      <c r="F120" s="3" t="n">
        <v>10498</v>
      </c>
      <c r="G120" s="3" t="n">
        <v>10498</v>
      </c>
      <c r="H120" s="3" t="n">
        <v>12312</v>
      </c>
      <c r="I120" s="3" t="n">
        <v>12312</v>
      </c>
    </row>
    <row r="121">
      <c r="A121" s="2" t="inlineStr">
        <is>
          <t>Hoja12</t>
        </is>
      </c>
      <c r="B121" s="2" t="inlineStr">
        <is>
          <t>PRESUPUESTOS LINEA 7000</t>
        </is>
      </c>
      <c r="C121" s="3" t="n">
        <v>15</v>
      </c>
      <c r="D121" s="2" t="inlineStr">
        <is>
          <t>TRASLAPO</t>
        </is>
      </c>
      <c r="E121" s="3" t="n">
        <v>7006</v>
      </c>
      <c r="F121" s="3" t="n">
        <v>11810</v>
      </c>
      <c r="G121" s="3" t="n">
        <v>11810</v>
      </c>
      <c r="H121" s="3" t="n">
        <v>13851</v>
      </c>
      <c r="I121" s="3" t="n">
        <v>13851</v>
      </c>
    </row>
    <row r="122">
      <c r="A122" s="2" t="inlineStr">
        <is>
          <t>Hoja12</t>
        </is>
      </c>
      <c r="B122" s="2" t="inlineStr">
        <is>
          <t>PRESUPUESTOS LINEA 7000</t>
        </is>
      </c>
      <c r="C122" s="3" t="n">
        <v>16</v>
      </c>
      <c r="D122" s="2" t="inlineStr">
        <is>
          <t>PIERNA</t>
        </is>
      </c>
      <c r="E122" s="3" t="n">
        <v>7007</v>
      </c>
      <c r="F122" s="3" t="n">
        <v>11154</v>
      </c>
      <c r="G122" s="3" t="n">
        <v>11154</v>
      </c>
      <c r="H122" s="3" t="n">
        <v>13082</v>
      </c>
      <c r="I122" s="3" t="n">
        <v>13082</v>
      </c>
    </row>
    <row r="123">
      <c r="A123" s="2" t="inlineStr">
        <is>
          <t>Hoja12</t>
        </is>
      </c>
      <c r="B123" s="2" t="inlineStr">
        <is>
          <t>PRESUPUESTOS LINEA 7000</t>
        </is>
      </c>
      <c r="C123" s="3" t="n">
        <v>17</v>
      </c>
      <c r="D123" s="2" t="inlineStr">
        <is>
          <t>PALILLO</t>
        </is>
      </c>
      <c r="E123" s="3" t="n">
        <v>7005</v>
      </c>
      <c r="F123" s="3" t="n">
        <v>10498</v>
      </c>
      <c r="G123" s="3" t="n">
        <v>10498</v>
      </c>
      <c r="H123" s="3" t="n">
        <v>12312</v>
      </c>
      <c r="I123" s="3" t="n">
        <v>12312</v>
      </c>
    </row>
    <row r="124">
      <c r="A124" s="2" t="inlineStr">
        <is>
          <t>Hoja12</t>
        </is>
      </c>
      <c r="B124" s="2" t="inlineStr">
        <is>
          <t>PRESUPUESTOS LINEA 7000</t>
        </is>
      </c>
      <c r="C124" s="3" t="n">
        <v>18</v>
      </c>
      <c r="D124" s="2" t="inlineStr">
        <is>
          <t>PERF.4A.HOJA</t>
        </is>
      </c>
      <c r="E124" s="3" t="n">
        <v>7009</v>
      </c>
      <c r="F124" s="3" t="n">
        <v>6099</v>
      </c>
      <c r="G124" s="3" t="n">
        <v>6099</v>
      </c>
      <c r="H124" s="3" t="n">
        <v>7154</v>
      </c>
      <c r="I124" s="3" t="n">
        <v>7154</v>
      </c>
    </row>
    <row r="125">
      <c r="A125" s="2" t="inlineStr">
        <is>
          <t>Hoja12</t>
        </is>
      </c>
      <c r="B125" s="2" t="inlineStr">
        <is>
          <t>PRESUPUESTOS LINEA 7000</t>
        </is>
      </c>
      <c r="C125" s="3" t="n">
        <v>19</v>
      </c>
      <c r="D125" s="2" t="inlineStr">
        <is>
          <t>PLACA AL.</t>
        </is>
      </c>
      <c r="E125" s="3" t="n">
        <v>5859</v>
      </c>
      <c r="F125" s="3" t="n">
        <v>14500</v>
      </c>
      <c r="G125" s="3" t="n">
        <v>14500</v>
      </c>
      <c r="H125" s="3" t="n">
        <v>17100</v>
      </c>
      <c r="I125" s="3" t="n">
        <v>17100</v>
      </c>
    </row>
    <row r="126">
      <c r="A126" s="2" t="inlineStr">
        <is>
          <t>Hoja12</t>
        </is>
      </c>
      <c r="B126" s="2" t="inlineStr">
        <is>
          <t>PRESUPUESTOS LINEA 7000</t>
        </is>
      </c>
      <c r="C126" s="3" t="n">
        <v>22</v>
      </c>
      <c r="D126" s="2" t="inlineStr">
        <is>
          <t>M2 FORM/MAS.</t>
        </is>
      </c>
      <c r="E126" s="2" t="inlineStr"/>
      <c r="F126" s="3" t="n">
        <v>12145</v>
      </c>
      <c r="G126" s="3" t="n">
        <v>12145</v>
      </c>
      <c r="H126" s="3" t="n">
        <v>12145</v>
      </c>
      <c r="I126" s="3" t="n">
        <v>12145</v>
      </c>
    </row>
    <row r="127">
      <c r="A127" s="2" t="inlineStr">
        <is>
          <t>Hoja12</t>
        </is>
      </c>
      <c r="B127" s="2" t="inlineStr">
        <is>
          <t>PRESUPUESTOS LINEA 7000</t>
        </is>
      </c>
      <c r="C127" s="3" t="n">
        <v>23</v>
      </c>
      <c r="D127" s="2" t="inlineStr">
        <is>
          <t>M2 PLACA:</t>
        </is>
      </c>
      <c r="E127" s="2" t="inlineStr"/>
      <c r="F127" s="3" t="n">
        <v>19072</v>
      </c>
      <c r="G127" s="3" t="n">
        <v>19072</v>
      </c>
      <c r="H127" s="3" t="n">
        <v>22438</v>
      </c>
      <c r="I127" s="3" t="n">
        <v>22438</v>
      </c>
    </row>
    <row r="128">
      <c r="A128" s="2" t="inlineStr">
        <is>
          <t>Hoja12</t>
        </is>
      </c>
      <c r="B128" s="2" t="inlineStr">
        <is>
          <t>PRESUPUESTOS LINEA 7000</t>
        </is>
      </c>
      <c r="C128" s="3" t="n">
        <v>24</v>
      </c>
      <c r="D128" s="2" t="inlineStr">
        <is>
          <t>TUBO RECT.</t>
        </is>
      </c>
      <c r="E128" s="2" t="inlineStr">
        <is>
          <t>[30x60]</t>
        </is>
      </c>
      <c r="F128" s="3" t="n">
        <v>17978</v>
      </c>
      <c r="G128" s="3" t="n">
        <v>17978</v>
      </c>
      <c r="H128" s="3" t="n">
        <v>21150</v>
      </c>
      <c r="I128" s="3" t="n">
        <v>21150</v>
      </c>
    </row>
    <row r="129">
      <c r="A129" s="2" t="inlineStr">
        <is>
          <t>Hoja12</t>
        </is>
      </c>
      <c r="B129" s="2" t="inlineStr">
        <is>
          <t>PRESUPUESTOS LINEA 7000</t>
        </is>
      </c>
      <c r="C129" s="3" t="n">
        <v>25</v>
      </c>
      <c r="D129" s="2" t="inlineStr">
        <is>
          <t>TUBO RECT</t>
        </is>
      </c>
      <c r="E129" s="2" t="inlineStr">
        <is>
          <t>[76x25]</t>
        </is>
      </c>
      <c r="F129" s="3" t="n">
        <v>20273</v>
      </c>
      <c r="G129" s="3" t="n">
        <v>20273</v>
      </c>
      <c r="H129" s="3" t="n">
        <v>23850</v>
      </c>
      <c r="I129" s="3" t="n">
        <v>23850</v>
      </c>
    </row>
    <row r="130">
      <c r="A130" s="2" t="inlineStr">
        <is>
          <t>Hoja12</t>
        </is>
      </c>
      <c r="B130" s="2" t="inlineStr">
        <is>
          <t>PRESUPUESTOS LINEA 7000</t>
        </is>
      </c>
      <c r="C130" s="3" t="n">
        <v>28</v>
      </c>
      <c r="D130" s="3" t="n">
        <v>2</v>
      </c>
      <c r="E130" s="2" t="inlineStr">
        <is>
          <t>HOJAS</t>
        </is>
      </c>
      <c r="F130" s="2">
        <f>D28*10%+D28</f>
        <v/>
      </c>
      <c r="G130" s="3" t="n">
        <v>30800</v>
      </c>
      <c r="H130" s="3" t="n">
        <v>28000</v>
      </c>
      <c r="I130" s="3" t="n">
        <v>28000</v>
      </c>
    </row>
    <row r="131">
      <c r="A131" s="2" t="inlineStr">
        <is>
          <t>Hoja12</t>
        </is>
      </c>
      <c r="B131" s="2" t="inlineStr">
        <is>
          <t>PRESUPUESTOS LINEA 7000</t>
        </is>
      </c>
      <c r="C131" s="3" t="n">
        <v>29</v>
      </c>
      <c r="D131" s="3" t="n">
        <v>3</v>
      </c>
      <c r="E131" s="2" t="inlineStr">
        <is>
          <t>HOJAS</t>
        </is>
      </c>
      <c r="F131" s="2">
        <f>D29*10%+D29</f>
        <v/>
      </c>
      <c r="G131" s="3" t="n">
        <v>39600</v>
      </c>
      <c r="H131" s="3" t="n">
        <v>36000</v>
      </c>
      <c r="I131" s="3" t="n">
        <v>36000</v>
      </c>
    </row>
    <row r="132">
      <c r="A132" s="2" t="inlineStr">
        <is>
          <t>Hoja12</t>
        </is>
      </c>
      <c r="B132" s="2" t="inlineStr">
        <is>
          <t>PRESUPUESTOS LINEA 7000</t>
        </is>
      </c>
      <c r="C132" s="3" t="n">
        <v>30</v>
      </c>
      <c r="D132" s="3" t="n">
        <v>4</v>
      </c>
      <c r="E132" s="2" t="inlineStr">
        <is>
          <t>HOJAS</t>
        </is>
      </c>
      <c r="F132" s="2">
        <f>D30*10%+D30</f>
        <v/>
      </c>
      <c r="G132" s="3" t="n">
        <v>53350</v>
      </c>
      <c r="H132" s="3" t="n">
        <v>48500</v>
      </c>
      <c r="I132" s="3" t="n">
        <v>48500</v>
      </c>
    </row>
    <row r="133">
      <c r="A133" s="2" t="inlineStr">
        <is>
          <t>Hoja13</t>
        </is>
      </c>
      <c r="B133" s="2" t="inlineStr">
        <is>
          <t>PRESUPUESTO VENTANA DE ABATIR</t>
        </is>
      </c>
      <c r="C133" s="3" t="n">
        <v>8</v>
      </c>
      <c r="D133" s="2" t="inlineStr">
        <is>
          <t>ARTICULO</t>
        </is>
      </c>
      <c r="E133" s="2" t="inlineStr">
        <is>
          <t>ALUMET</t>
        </is>
      </c>
      <c r="F133" s="2" t="inlineStr">
        <is>
          <t>TIRA $</t>
        </is>
      </c>
      <c r="G133" s="2" t="inlineStr">
        <is>
          <t>TIRA $</t>
        </is>
      </c>
      <c r="H133" s="2" t="inlineStr">
        <is>
          <t>CAFE</t>
        </is>
      </c>
      <c r="I133" s="2" t="inlineStr">
        <is>
          <t>CAFE</t>
        </is>
      </c>
    </row>
    <row r="134">
      <c r="A134" s="2" t="inlineStr">
        <is>
          <t>Hoja13</t>
        </is>
      </c>
      <c r="B134" s="2" t="inlineStr">
        <is>
          <t>PRESUPUESTO VENTANA DE ABATIR</t>
        </is>
      </c>
      <c r="C134" s="3" t="n">
        <v>10</v>
      </c>
      <c r="D134" s="2" t="inlineStr">
        <is>
          <t>PIERNA</t>
        </is>
      </c>
      <c r="E134" s="3" t="n">
        <v>5007</v>
      </c>
      <c r="F134" s="3" t="n">
        <v>11500</v>
      </c>
      <c r="G134" s="3" t="n">
        <v>11500</v>
      </c>
      <c r="H134" s="3" t="n">
        <v>12930</v>
      </c>
      <c r="I134" s="3" t="n">
        <v>12930</v>
      </c>
    </row>
    <row r="135">
      <c r="A135" s="2" t="inlineStr">
        <is>
          <t>Hoja13</t>
        </is>
      </c>
      <c r="B135" s="2" t="inlineStr">
        <is>
          <t>PRESUPUESTO VENTANA DE ABATIR</t>
        </is>
      </c>
      <c r="C135" s="3" t="n">
        <v>11</v>
      </c>
      <c r="D135" s="2" t="inlineStr">
        <is>
          <t>CPUERTA</t>
        </is>
      </c>
      <c r="E135" s="3" t="n">
        <v>7659</v>
      </c>
      <c r="F135" s="3" t="n">
        <v>9540</v>
      </c>
      <c r="G135" s="3" t="n">
        <v>9540</v>
      </c>
      <c r="H135" s="3" t="n">
        <v>11223</v>
      </c>
      <c r="I135" s="3" t="n">
        <v>11223</v>
      </c>
    </row>
    <row r="136">
      <c r="A136" s="2" t="inlineStr">
        <is>
          <t>Hoja13</t>
        </is>
      </c>
      <c r="B136" s="2" t="inlineStr">
        <is>
          <t>PRESUPUESTO VENTANA DE ABATIR</t>
        </is>
      </c>
      <c r="C136" s="3" t="n">
        <v>12</v>
      </c>
      <c r="D136" s="2" t="inlineStr">
        <is>
          <t>JUNQUILLO</t>
        </is>
      </c>
      <c r="E136" s="3" t="n">
        <v>5687</v>
      </c>
      <c r="F136" s="3" t="n">
        <v>2372</v>
      </c>
      <c r="G136" s="3" t="n">
        <v>2372</v>
      </c>
      <c r="H136" s="3" t="n">
        <v>2790</v>
      </c>
      <c r="I136" s="3" t="n">
        <v>2790</v>
      </c>
    </row>
    <row r="137">
      <c r="A137" s="2" t="inlineStr">
        <is>
          <t>Hoja13</t>
        </is>
      </c>
      <c r="B137" s="2" t="inlineStr">
        <is>
          <t>PRESUPUESTO VENTANA DE ABATIR</t>
        </is>
      </c>
      <c r="C137" s="3" t="n">
        <v>13</v>
      </c>
      <c r="D137" s="2" t="inlineStr">
        <is>
          <t>A.AMARRE</t>
        </is>
      </c>
      <c r="E137" s="2" t="inlineStr">
        <is>
          <t>A-O9</t>
        </is>
      </c>
      <c r="F137" s="3" t="n">
        <v>330</v>
      </c>
      <c r="G137" s="3" t="n">
        <v>330</v>
      </c>
      <c r="H137" s="3" t="n">
        <v>389</v>
      </c>
      <c r="I137" s="3" t="n">
        <v>389</v>
      </c>
    </row>
    <row r="138">
      <c r="A138" s="2" t="inlineStr">
        <is>
          <t>Hoja13</t>
        </is>
      </c>
      <c r="B138" s="2" t="inlineStr">
        <is>
          <t>PRESUPUESTO VENTANA DE ABATIR</t>
        </is>
      </c>
      <c r="C138" s="3" t="n">
        <v>14</v>
      </c>
      <c r="D138" s="2" t="inlineStr">
        <is>
          <t>TUBO RECT.</t>
        </is>
      </c>
      <c r="E138" s="2" t="inlineStr">
        <is>
          <t>[30x60]</t>
        </is>
      </c>
      <c r="F138" s="3" t="n">
        <v>17978</v>
      </c>
      <c r="G138" s="3" t="n">
        <v>17978</v>
      </c>
      <c r="H138" s="3" t="n">
        <v>21150</v>
      </c>
      <c r="I138" s="3" t="n">
        <v>21150</v>
      </c>
    </row>
    <row r="139">
      <c r="A139" s="2" t="inlineStr">
        <is>
          <t>Hoja13</t>
        </is>
      </c>
      <c r="B139" s="2" t="inlineStr">
        <is>
          <t>PRESUPUESTO VENTANA DE ABATIR</t>
        </is>
      </c>
      <c r="C139" s="3" t="n">
        <v>15</v>
      </c>
      <c r="D139" s="2" t="inlineStr">
        <is>
          <t>ANGULO</t>
        </is>
      </c>
      <c r="E139" s="2" t="inlineStr">
        <is>
          <t>[25x12]</t>
        </is>
      </c>
      <c r="F139" s="3" t="n">
        <v>2958</v>
      </c>
      <c r="G139" s="3" t="n">
        <v>2958</v>
      </c>
      <c r="H139" s="3" t="n">
        <v>3480</v>
      </c>
      <c r="I139" s="3" t="n">
        <v>3480</v>
      </c>
    </row>
    <row r="140">
      <c r="A140" s="2" t="inlineStr">
        <is>
          <t>Hoja13</t>
        </is>
      </c>
      <c r="B140" s="2" t="inlineStr">
        <is>
          <t>PRESUPUESTO VENTANA DE ABATIR</t>
        </is>
      </c>
      <c r="C140" s="3" t="n">
        <v>16</v>
      </c>
      <c r="D140" s="2" t="inlineStr">
        <is>
          <t>CANAL U</t>
        </is>
      </c>
      <c r="E140" s="2" t="inlineStr">
        <is>
          <t>[20x12]</t>
        </is>
      </c>
      <c r="F140" s="3" t="n">
        <v>3902</v>
      </c>
      <c r="G140" s="3" t="n">
        <v>3902</v>
      </c>
      <c r="H140" s="3" t="n">
        <v>4590</v>
      </c>
      <c r="I140" s="3" t="n">
        <v>4590</v>
      </c>
    </row>
    <row r="141">
      <c r="A141" s="2" t="inlineStr">
        <is>
          <t>Hoja13</t>
        </is>
      </c>
      <c r="B141" s="2" t="inlineStr">
        <is>
          <t>PRESUPUESTO VENTANA DE ABATIR</t>
        </is>
      </c>
      <c r="C141" s="3" t="n">
        <v>18</v>
      </c>
      <c r="D141" s="2" t="inlineStr">
        <is>
          <t>S.T.T.R.</t>
        </is>
      </c>
      <c r="E141" s="2" t="inlineStr"/>
      <c r="F141" s="3" t="n">
        <v>2000</v>
      </c>
      <c r="G141" s="3" t="n">
        <v>2000</v>
      </c>
      <c r="H141" s="2" t="inlineStr"/>
      <c r="I141" s="2" t="inlineStr"/>
    </row>
    <row r="142">
      <c r="A142" s="2" t="inlineStr">
        <is>
          <t>Hoja13</t>
        </is>
      </c>
      <c r="B142" s="2" t="inlineStr">
        <is>
          <t>PRESUPUESTO VENTANA DE ABATIR</t>
        </is>
      </c>
      <c r="C142" s="3" t="n">
        <v>20</v>
      </c>
      <c r="D142" s="2" t="inlineStr">
        <is>
          <t>M.OBRA</t>
        </is>
      </c>
      <c r="E142" s="2" t="inlineStr"/>
      <c r="F142" s="2">
        <f>D20*10%+D20</f>
        <v/>
      </c>
      <c r="G142" s="3" t="n">
        <v>18700</v>
      </c>
      <c r="H142" s="3" t="n">
        <v>17000</v>
      </c>
      <c r="I142" s="3" t="n">
        <v>17000</v>
      </c>
    </row>
    <row r="143">
      <c r="A143" s="2" t="inlineStr">
        <is>
          <t>Hoja13</t>
        </is>
      </c>
      <c r="B143" s="2" t="inlineStr">
        <is>
          <t>PRESUPUESTO VENTANA DE ABATIR</t>
        </is>
      </c>
      <c r="C143" s="3" t="n">
        <v>30</v>
      </c>
      <c r="D143" s="2" t="inlineStr">
        <is>
          <t>FECHA:</t>
        </is>
      </c>
      <c r="E143" s="2" t="inlineStr">
        <is>
          <t>IQUIQUE,</t>
        </is>
      </c>
      <c r="F143" s="2" t="inlineStr">
        <is>
          <t>DICIEMBRE 24 DE 1996</t>
        </is>
      </c>
      <c r="G143" s="2" t="inlineStr">
        <is>
          <t>DICIEMBRE 24 DE 1996</t>
        </is>
      </c>
      <c r="H143" s="2" t="inlineStr"/>
      <c r="I143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18" customWidth="1" min="4" max="4"/>
    <col width="24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Hoja</t>
        </is>
      </c>
      <c r="B1" s="1" t="inlineStr">
        <is>
          <t>Producto</t>
        </is>
      </c>
      <c r="C1" s="1" t="inlineStr">
        <is>
          <t>Fila</t>
        </is>
      </c>
      <c r="D1" s="1" t="inlineStr">
        <is>
          <t>Col E / índice</t>
        </is>
      </c>
      <c r="E1" s="1" t="inlineStr">
        <is>
          <t>Col F / tipo</t>
        </is>
      </c>
      <c r="F1" s="1" t="inlineStr">
        <is>
          <t>Col G / valor</t>
        </is>
      </c>
      <c r="G1" s="1" t="inlineStr">
        <is>
          <t>Col H / café</t>
        </is>
      </c>
      <c r="H1" s="1" t="inlineStr">
        <is>
          <t>Valor col G calculado</t>
        </is>
      </c>
      <c r="I1" s="1" t="inlineStr">
        <is>
          <t>Valor col H calculado</t>
        </is>
      </c>
    </row>
    <row r="2">
      <c r="A2" s="2" t="inlineStr">
        <is>
          <t>Hoja2</t>
        </is>
      </c>
      <c r="B2" s="2" t="inlineStr">
        <is>
          <t>PRESUPUESTO SHOWER DOOR LINEA AM-12 ALUMCO</t>
        </is>
      </c>
      <c r="C2" s="3" t="n">
        <v>10</v>
      </c>
      <c r="D2" s="2" t="inlineStr"/>
      <c r="E2" s="2" t="inlineStr">
        <is>
          <t>BURLETE</t>
        </is>
      </c>
      <c r="F2" s="3" t="n">
        <v>480</v>
      </c>
      <c r="G2" s="2" t="inlineStr"/>
      <c r="H2" s="3" t="n">
        <v>480</v>
      </c>
      <c r="I2" s="2" t="inlineStr"/>
    </row>
    <row r="3">
      <c r="A3" s="2" t="inlineStr">
        <is>
          <t>Hoja2</t>
        </is>
      </c>
      <c r="B3" s="2" t="inlineStr">
        <is>
          <t>PRESUPUESTO SHOWER DOOR LINEA AM-12 ALUMCO</t>
        </is>
      </c>
      <c r="C3" s="3" t="n">
        <v>11</v>
      </c>
      <c r="D3" s="2" t="inlineStr"/>
      <c r="E3" s="2" t="inlineStr">
        <is>
          <t>FELPA</t>
        </is>
      </c>
      <c r="F3" s="2" t="inlineStr"/>
      <c r="G3" s="2" t="inlineStr"/>
      <c r="H3" s="2" t="inlineStr"/>
      <c r="I3" s="2" t="inlineStr"/>
    </row>
    <row r="4">
      <c r="A4" s="2" t="inlineStr">
        <is>
          <t>Hoja2</t>
        </is>
      </c>
      <c r="B4" s="2" t="inlineStr">
        <is>
          <t>PRESUPUESTO SHOWER DOOR LINEA AM-12 ALUMCO</t>
        </is>
      </c>
      <c r="C4" s="3" t="n">
        <v>12</v>
      </c>
      <c r="D4" s="2" t="inlineStr"/>
      <c r="E4" s="2" t="inlineStr">
        <is>
          <t>RODAM.</t>
        </is>
      </c>
      <c r="F4" s="3" t="n">
        <v>1200</v>
      </c>
      <c r="G4" s="2" t="inlineStr"/>
      <c r="H4" s="3" t="n">
        <v>1200</v>
      </c>
      <c r="I4" s="2" t="inlineStr"/>
    </row>
    <row r="5">
      <c r="A5" s="2" t="inlineStr">
        <is>
          <t>Hoja2</t>
        </is>
      </c>
      <c r="B5" s="2" t="inlineStr">
        <is>
          <t>PRESUPUESTO SHOWER DOOR LINEA AM-12 ALUMCO</t>
        </is>
      </c>
      <c r="C5" s="3" t="n">
        <v>13</v>
      </c>
      <c r="D5" s="2" t="inlineStr"/>
      <c r="E5" s="2" t="inlineStr">
        <is>
          <t>M.OBRA</t>
        </is>
      </c>
      <c r="F5" s="2">
        <f>H13*10%+H13</f>
        <v/>
      </c>
      <c r="G5" s="3" t="n">
        <v>30000</v>
      </c>
      <c r="H5" s="3" t="n">
        <v>33000</v>
      </c>
      <c r="I5" s="3" t="n">
        <v>30000</v>
      </c>
    </row>
    <row r="6">
      <c r="A6" s="2" t="inlineStr">
        <is>
          <t>Hoja2</t>
        </is>
      </c>
      <c r="B6" s="2" t="inlineStr">
        <is>
          <t>PRESUPUESTO SHOWER DOOR LINEA AM-12 ALUMCO</t>
        </is>
      </c>
      <c r="C6" s="3" t="n">
        <v>14</v>
      </c>
      <c r="D6" s="2" t="inlineStr"/>
      <c r="E6" s="2" t="inlineStr">
        <is>
          <t>GUIAS</t>
        </is>
      </c>
      <c r="F6" s="3" t="n">
        <v>100</v>
      </c>
      <c r="G6" s="2" t="inlineStr"/>
      <c r="H6" s="3" t="n">
        <v>100</v>
      </c>
      <c r="I6" s="2" t="inlineStr"/>
    </row>
    <row r="7">
      <c r="A7" s="2" t="inlineStr">
        <is>
          <t>Hoja3</t>
        </is>
      </c>
      <c r="B7" s="2" t="inlineStr">
        <is>
          <t>PRESUPUESTO VENTANA CON BRAZO EXT.</t>
        </is>
      </c>
      <c r="C7" s="3" t="n">
        <v>8</v>
      </c>
      <c r="D7" s="2" t="inlineStr"/>
      <c r="E7" s="2" t="inlineStr"/>
      <c r="F7" s="2" t="inlineStr">
        <is>
          <t>INCOLOR</t>
        </is>
      </c>
      <c r="G7" s="2" t="inlineStr">
        <is>
          <t>CAFE</t>
        </is>
      </c>
      <c r="H7" s="2" t="inlineStr">
        <is>
          <t>INCOLOR</t>
        </is>
      </c>
      <c r="I7" s="2" t="inlineStr">
        <is>
          <t>CAFE</t>
        </is>
      </c>
    </row>
    <row r="8">
      <c r="A8" s="2" t="inlineStr">
        <is>
          <t>Hoja3</t>
        </is>
      </c>
      <c r="B8" s="2" t="inlineStr">
        <is>
          <t>PRESUPUESTO VENTANA CON BRAZO EXT.</t>
        </is>
      </c>
      <c r="C8" s="3" t="n">
        <v>10</v>
      </c>
      <c r="D8" s="2" t="inlineStr"/>
      <c r="E8" s="2" t="inlineStr">
        <is>
          <t>FELPA</t>
        </is>
      </c>
      <c r="F8" s="3" t="n">
        <v>320</v>
      </c>
      <c r="G8" s="3" t="n">
        <v>320</v>
      </c>
      <c r="H8" s="3" t="n">
        <v>320</v>
      </c>
      <c r="I8" s="3" t="n">
        <v>320</v>
      </c>
    </row>
    <row r="9">
      <c r="A9" s="2" t="inlineStr">
        <is>
          <t>Hoja3</t>
        </is>
      </c>
      <c r="B9" s="2" t="inlineStr">
        <is>
          <t>PRESUPUESTO VENTANA CON BRAZO EXT.</t>
        </is>
      </c>
      <c r="C9" s="3" t="n">
        <v>11</v>
      </c>
      <c r="D9" s="2" t="inlineStr"/>
      <c r="E9" s="2" t="inlineStr">
        <is>
          <t>MANILA</t>
        </is>
      </c>
      <c r="F9" s="3" t="n">
        <v>2630</v>
      </c>
      <c r="G9" s="3" t="n">
        <v>2880</v>
      </c>
      <c r="H9" s="3" t="n">
        <v>2630</v>
      </c>
      <c r="I9" s="3" t="n">
        <v>2880</v>
      </c>
    </row>
    <row r="10">
      <c r="A10" s="2" t="inlineStr">
        <is>
          <t>Hoja3</t>
        </is>
      </c>
      <c r="B10" s="2" t="inlineStr">
        <is>
          <t>PRESUPUESTO VENTANA CON BRAZO EXT.</t>
        </is>
      </c>
      <c r="C10" s="3" t="n">
        <v>12</v>
      </c>
      <c r="D10" s="2" t="inlineStr"/>
      <c r="E10" s="2" t="inlineStr">
        <is>
          <t>BRAZO EXT</t>
        </is>
      </c>
      <c r="F10" s="3" t="n">
        <v>5700</v>
      </c>
      <c r="G10" s="3" t="n">
        <v>5700</v>
      </c>
      <c r="H10" s="3" t="n">
        <v>5700</v>
      </c>
      <c r="I10" s="3" t="n">
        <v>5700</v>
      </c>
    </row>
    <row r="11">
      <c r="A11" s="2" t="inlineStr">
        <is>
          <t>Hoja3</t>
        </is>
      </c>
      <c r="B11" s="2" t="inlineStr">
        <is>
          <t>PRESUPUESTO VENTANA CON BRAZO EXT.</t>
        </is>
      </c>
      <c r="C11" s="3" t="n">
        <v>15</v>
      </c>
      <c r="D11" s="2" t="inlineStr"/>
      <c r="E11" s="2" t="inlineStr"/>
      <c r="F11" s="2" t="inlineStr">
        <is>
          <t>VIDRIO</t>
        </is>
      </c>
      <c r="G11" s="2" t="inlineStr"/>
      <c r="H11" s="2" t="inlineStr">
        <is>
          <t>VIDRIO</t>
        </is>
      </c>
      <c r="I11" s="2" t="inlineStr"/>
    </row>
    <row r="12">
      <c r="A12" s="2" t="inlineStr">
        <is>
          <t>Hoja3</t>
        </is>
      </c>
      <c r="B12" s="2" t="inlineStr">
        <is>
          <t>PRESUPUESTO VENTANA CON BRAZO EXT.</t>
        </is>
      </c>
      <c r="C12" s="3" t="n">
        <v>17</v>
      </c>
      <c r="D12" s="2" t="inlineStr"/>
      <c r="E12" s="3" t="n">
        <v>1</v>
      </c>
      <c r="F12" s="2" t="inlineStr">
        <is>
          <t>DOBLE</t>
        </is>
      </c>
      <c r="G12" s="3" t="n">
        <v>17020</v>
      </c>
      <c r="H12" s="2" t="inlineStr">
        <is>
          <t>DOBLE</t>
        </is>
      </c>
      <c r="I12" s="3" t="n">
        <v>17020</v>
      </c>
    </row>
    <row r="13">
      <c r="A13" s="2" t="inlineStr">
        <is>
          <t>Hoja3</t>
        </is>
      </c>
      <c r="B13" s="2" t="inlineStr">
        <is>
          <t>PRESUPUESTO VENTANA CON BRAZO EXT.</t>
        </is>
      </c>
      <c r="C13" s="3" t="n">
        <v>18</v>
      </c>
      <c r="D13" s="2" t="inlineStr"/>
      <c r="E13" s="3" t="n">
        <v>2</v>
      </c>
      <c r="F13" s="2" t="inlineStr">
        <is>
          <t>TRIPLE</t>
        </is>
      </c>
      <c r="G13" s="3" t="n">
        <v>22690</v>
      </c>
      <c r="H13" s="2" t="inlineStr">
        <is>
          <t>TRIPLE</t>
        </is>
      </c>
      <c r="I13" s="3" t="n">
        <v>22690</v>
      </c>
    </row>
    <row r="14">
      <c r="A14" s="2" t="inlineStr">
        <is>
          <t>Hoja3</t>
        </is>
      </c>
      <c r="B14" s="2" t="inlineStr">
        <is>
          <t>PRESUPUESTO VENTANA CON BRAZO EXT.</t>
        </is>
      </c>
      <c r="C14" s="3" t="n">
        <v>19</v>
      </c>
      <c r="D14" s="2" t="inlineStr"/>
      <c r="E14" s="3" t="n">
        <v>3</v>
      </c>
      <c r="F14" s="2" t="inlineStr">
        <is>
          <t>VITREA</t>
        </is>
      </c>
      <c r="G14" s="3" t="n">
        <v>28360</v>
      </c>
      <c r="H14" s="2" t="inlineStr">
        <is>
          <t>VITREA</t>
        </is>
      </c>
      <c r="I14" s="3" t="n">
        <v>28360</v>
      </c>
    </row>
    <row r="15">
      <c r="A15" s="2" t="inlineStr">
        <is>
          <t>Hoja3</t>
        </is>
      </c>
      <c r="B15" s="2" t="inlineStr">
        <is>
          <t>PRESUPUESTO VENTANA CON BRAZO EXT.</t>
        </is>
      </c>
      <c r="C15" s="3" t="n">
        <v>20</v>
      </c>
      <c r="D15" s="2" t="inlineStr"/>
      <c r="E15" s="3" t="n">
        <v>4</v>
      </c>
      <c r="F15" s="2" t="inlineStr">
        <is>
          <t>CATEDRAL</t>
        </is>
      </c>
      <c r="G15" s="3" t="n">
        <v>20790</v>
      </c>
      <c r="H15" s="2" t="inlineStr">
        <is>
          <t>CATEDRAL</t>
        </is>
      </c>
      <c r="I15" s="3" t="n">
        <v>20790</v>
      </c>
    </row>
    <row r="16">
      <c r="A16" s="2" t="inlineStr">
        <is>
          <t>Hoja3</t>
        </is>
      </c>
      <c r="B16" s="2" t="inlineStr">
        <is>
          <t>PRESUPUESTO VENTANA CON BRAZO EXT.</t>
        </is>
      </c>
      <c r="C16" s="3" t="n">
        <v>21</v>
      </c>
      <c r="D16" s="2" t="inlineStr"/>
      <c r="E16" s="3" t="n">
        <v>5</v>
      </c>
      <c r="F16" s="2" t="inlineStr">
        <is>
          <t>CAT.COLOR</t>
        </is>
      </c>
      <c r="G16" s="3" t="n">
        <v>25670</v>
      </c>
      <c r="H16" s="2" t="inlineStr">
        <is>
          <t>CAT.COLOR</t>
        </is>
      </c>
      <c r="I16" s="3" t="n">
        <v>25670</v>
      </c>
    </row>
    <row r="17">
      <c r="A17" s="2" t="inlineStr">
        <is>
          <t>Hoja3</t>
        </is>
      </c>
      <c r="B17" s="2" t="inlineStr">
        <is>
          <t>PRESUPUESTO VENTANA CON BRAZO EXT.</t>
        </is>
      </c>
      <c r="C17" s="3" t="n">
        <v>22</v>
      </c>
      <c r="D17" s="3" t="n">
        <v>4000</v>
      </c>
      <c r="E17" s="3" t="n">
        <v>6</v>
      </c>
      <c r="F17" s="2" t="inlineStr">
        <is>
          <t>BR/GR 4mm</t>
        </is>
      </c>
      <c r="G17" s="3" t="n">
        <v>25660</v>
      </c>
      <c r="H17" s="2" t="inlineStr">
        <is>
          <t>BR/GR 4mm</t>
        </is>
      </c>
      <c r="I17" s="3" t="n">
        <v>25660</v>
      </c>
    </row>
    <row r="18">
      <c r="A18" s="2" t="inlineStr">
        <is>
          <t>Hoja3</t>
        </is>
      </c>
      <c r="B18" s="2" t="inlineStr">
        <is>
          <t>PRESUPUESTO VENTANA CON BRAZO EXT.</t>
        </is>
      </c>
      <c r="C18" s="3" t="n">
        <v>23</v>
      </c>
      <c r="D18" s="3" t="n">
        <v>8000</v>
      </c>
      <c r="E18" s="3" t="n">
        <v>7</v>
      </c>
      <c r="F18" s="2" t="inlineStr">
        <is>
          <t>BR/GR 5mm</t>
        </is>
      </c>
      <c r="G18" s="3" t="n">
        <v>32070</v>
      </c>
      <c r="H18" s="2" t="inlineStr">
        <is>
          <t>BR/GR 5mm</t>
        </is>
      </c>
      <c r="I18" s="3" t="n">
        <v>32070</v>
      </c>
    </row>
    <row r="19">
      <c r="A19" s="2" t="inlineStr">
        <is>
          <t>Hoja3</t>
        </is>
      </c>
      <c r="B19" s="2" t="inlineStr">
        <is>
          <t>PRESUPUESTO VENTANA CON BRAZO EXT.</t>
        </is>
      </c>
      <c r="C19" s="3" t="n">
        <v>24</v>
      </c>
      <c r="D19" s="2" t="inlineStr"/>
      <c r="E19" s="3" t="n">
        <v>8</v>
      </c>
      <c r="F19" s="2" t="inlineStr">
        <is>
          <t>REFLEX. Bronce 4mm</t>
        </is>
      </c>
      <c r="G19" s="3" t="n">
        <v>34680</v>
      </c>
      <c r="H19" s="2" t="inlineStr">
        <is>
          <t>REFLEX. Bronce 4mm</t>
        </is>
      </c>
      <c r="I19" s="3" t="n">
        <v>34680</v>
      </c>
    </row>
    <row r="20">
      <c r="A20" s="2" t="inlineStr">
        <is>
          <t>Hoja3</t>
        </is>
      </c>
      <c r="B20" s="2" t="inlineStr">
        <is>
          <t>PRESUPUESTO VENTANA CON BRAZO EXT.</t>
        </is>
      </c>
      <c r="C20" s="3" t="n">
        <v>25</v>
      </c>
      <c r="D20" s="2" t="inlineStr"/>
      <c r="E20" s="3" t="n">
        <v>9</v>
      </c>
      <c r="F20" s="2" t="inlineStr">
        <is>
          <t>Inastillabe 6</t>
        </is>
      </c>
      <c r="G20" s="3" t="n">
        <v>66260</v>
      </c>
      <c r="H20" s="2" t="inlineStr">
        <is>
          <t>Inastillabe 6</t>
        </is>
      </c>
      <c r="I20" s="3" t="n">
        <v>66260</v>
      </c>
    </row>
    <row r="21">
      <c r="A21" s="2" t="inlineStr">
        <is>
          <t>Hoja4</t>
        </is>
      </c>
      <c r="B21" s="2" t="inlineStr">
        <is>
          <t>PRESUPUESTO CENTROS DE PUERTA</t>
        </is>
      </c>
      <c r="C21" s="3" t="n">
        <v>8</v>
      </c>
      <c r="D21" s="2" t="inlineStr"/>
      <c r="E21" s="2" t="inlineStr">
        <is>
          <t>VIDRIOS</t>
        </is>
      </c>
      <c r="F21" s="2" t="inlineStr">
        <is>
          <t>VALOR M2</t>
        </is>
      </c>
      <c r="G21" s="2" t="inlineStr"/>
      <c r="H21" s="2" t="inlineStr">
        <is>
          <t>VALOR M2</t>
        </is>
      </c>
      <c r="I21" s="2" t="inlineStr"/>
    </row>
    <row r="22">
      <c r="A22" s="2" t="inlineStr">
        <is>
          <t>Hoja4</t>
        </is>
      </c>
      <c r="B22" s="2" t="inlineStr">
        <is>
          <t>PRESUPUESTO CENTROS DE PUERTA</t>
        </is>
      </c>
      <c r="C22" s="3" t="n">
        <v>10</v>
      </c>
      <c r="D22" s="3" t="n">
        <v>1</v>
      </c>
      <c r="E22" s="2" t="inlineStr">
        <is>
          <t>DOBLE</t>
        </is>
      </c>
      <c r="F22" s="3" t="n">
        <v>15900</v>
      </c>
      <c r="G22" s="2" t="inlineStr"/>
      <c r="H22" s="3" t="n">
        <v>15900</v>
      </c>
      <c r="I22" s="2" t="inlineStr"/>
    </row>
    <row r="23">
      <c r="A23" s="2" t="inlineStr">
        <is>
          <t>Hoja4</t>
        </is>
      </c>
      <c r="B23" s="2" t="inlineStr">
        <is>
          <t>PRESUPUESTO CENTROS DE PUERTA</t>
        </is>
      </c>
      <c r="C23" s="3" t="n">
        <v>11</v>
      </c>
      <c r="D23" s="3" t="n">
        <v>2</v>
      </c>
      <c r="E23" s="2" t="inlineStr">
        <is>
          <t>TRIPLE</t>
        </is>
      </c>
      <c r="F23" s="3" t="n">
        <v>21200</v>
      </c>
      <c r="G23" s="2" t="inlineStr"/>
      <c r="H23" s="3" t="n">
        <v>21200</v>
      </c>
      <c r="I23" s="2" t="inlineStr"/>
    </row>
    <row r="24">
      <c r="A24" s="2" t="inlineStr">
        <is>
          <t>Hoja4</t>
        </is>
      </c>
      <c r="B24" s="2" t="inlineStr">
        <is>
          <t>PRESUPUESTO CENTROS DE PUERTA</t>
        </is>
      </c>
      <c r="C24" s="3" t="n">
        <v>12</v>
      </c>
      <c r="D24" s="3" t="n">
        <v>3</v>
      </c>
      <c r="E24" s="2" t="inlineStr">
        <is>
          <t>VITREA</t>
        </is>
      </c>
      <c r="F24" s="3" t="n">
        <v>26500</v>
      </c>
      <c r="G24" s="2" t="inlineStr"/>
      <c r="H24" s="3" t="n">
        <v>26500</v>
      </c>
      <c r="I24" s="2" t="inlineStr"/>
    </row>
    <row r="25">
      <c r="A25" s="2" t="inlineStr">
        <is>
          <t>Hoja4</t>
        </is>
      </c>
      <c r="B25" s="2" t="inlineStr">
        <is>
          <t>PRESUPUESTO CENTROS DE PUERTA</t>
        </is>
      </c>
      <c r="C25" s="3" t="n">
        <v>13</v>
      </c>
      <c r="D25" s="3" t="n">
        <v>4</v>
      </c>
      <c r="E25" s="2" t="inlineStr">
        <is>
          <t>BRONC.4mm</t>
        </is>
      </c>
      <c r="F25" s="3" t="n">
        <v>23320</v>
      </c>
      <c r="G25" s="2" t="inlineStr"/>
      <c r="H25" s="3" t="n">
        <v>23320</v>
      </c>
      <c r="I25" s="2" t="inlineStr"/>
    </row>
    <row r="26">
      <c r="A26" s="2" t="inlineStr">
        <is>
          <t>Hoja4</t>
        </is>
      </c>
      <c r="B26" s="2" t="inlineStr">
        <is>
          <t>PRESUPUESTO CENTROS DE PUERTA</t>
        </is>
      </c>
      <c r="C26" s="3" t="n">
        <v>14</v>
      </c>
      <c r="D26" s="3" t="n">
        <v>5</v>
      </c>
      <c r="E26" s="2" t="inlineStr">
        <is>
          <t>BRONC.5mm</t>
        </is>
      </c>
      <c r="F26" s="3" t="n">
        <v>29150</v>
      </c>
      <c r="G26" s="2" t="inlineStr"/>
      <c r="H26" s="3" t="n">
        <v>29150</v>
      </c>
      <c r="I26" s="2" t="inlineStr"/>
    </row>
    <row r="27">
      <c r="A27" s="2" t="inlineStr">
        <is>
          <t>Hoja4</t>
        </is>
      </c>
      <c r="B27" s="2" t="inlineStr">
        <is>
          <t>PRESUPUESTO CENTROS DE PUERTA</t>
        </is>
      </c>
      <c r="C27" s="3" t="n">
        <v>15</v>
      </c>
      <c r="D27" s="3" t="n">
        <v>6</v>
      </c>
      <c r="E27" s="2" t="inlineStr">
        <is>
          <t>CATEDRAL</t>
        </is>
      </c>
      <c r="F27" s="3" t="n">
        <v>18900</v>
      </c>
      <c r="G27" s="2" t="inlineStr"/>
      <c r="H27" s="3" t="n">
        <v>18900</v>
      </c>
      <c r="I27" s="2" t="inlineStr"/>
    </row>
    <row r="28">
      <c r="A28" s="2" t="inlineStr">
        <is>
          <t>Hoja4</t>
        </is>
      </c>
      <c r="B28" s="2" t="inlineStr">
        <is>
          <t>PRESUPUESTO CENTROS DE PUERTA</t>
        </is>
      </c>
      <c r="C28" s="3" t="n">
        <v>16</v>
      </c>
      <c r="D28" s="3" t="n">
        <v>7</v>
      </c>
      <c r="E28" s="2" t="inlineStr">
        <is>
          <t>CAT.COLOR</t>
        </is>
      </c>
      <c r="F28" s="3" t="n">
        <v>23330</v>
      </c>
      <c r="G28" s="2" t="inlineStr"/>
      <c r="H28" s="3" t="n">
        <v>23330</v>
      </c>
      <c r="I28" s="2" t="inlineStr"/>
    </row>
    <row r="29">
      <c r="A29" s="2" t="inlineStr">
        <is>
          <t>Hoja5</t>
        </is>
      </c>
      <c r="B29" s="2" t="inlineStr">
        <is>
          <t>PRESUPUESTO CENTROS DE PUERTA</t>
        </is>
      </c>
      <c r="C29" s="3" t="n">
        <v>8</v>
      </c>
      <c r="D29" s="2" t="inlineStr"/>
      <c r="E29" s="2" t="inlineStr">
        <is>
          <t>VIDRIOS</t>
        </is>
      </c>
      <c r="F29" s="2" t="inlineStr">
        <is>
          <t>VALOR M2</t>
        </is>
      </c>
      <c r="G29" s="2" t="inlineStr"/>
      <c r="H29" s="2" t="inlineStr">
        <is>
          <t>VALOR M2</t>
        </is>
      </c>
      <c r="I29" s="2" t="inlineStr"/>
    </row>
    <row r="30">
      <c r="A30" s="2" t="inlineStr">
        <is>
          <t>Hoja5</t>
        </is>
      </c>
      <c r="B30" s="2" t="inlineStr">
        <is>
          <t>PRESUPUESTO CENTROS DE PUERTA</t>
        </is>
      </c>
      <c r="C30" s="3" t="n">
        <v>11</v>
      </c>
      <c r="D30" s="2" t="inlineStr">
        <is>
          <t xml:space="preserve"> </t>
        </is>
      </c>
      <c r="E30" s="2" t="inlineStr">
        <is>
          <t>CR.10 MM.</t>
        </is>
      </c>
      <c r="F30" s="3" t="n">
        <v>19500</v>
      </c>
      <c r="G30" s="2" t="inlineStr"/>
      <c r="H30" s="3" t="n">
        <v>19500</v>
      </c>
      <c r="I30" s="2" t="inlineStr"/>
    </row>
    <row r="31">
      <c r="A31" s="2" t="inlineStr">
        <is>
          <t>Hoja6</t>
        </is>
      </c>
      <c r="B31" s="2" t="inlineStr">
        <is>
          <t>PRESUPUESTOS PUERTAS TUBO 40x40 Y 40x100</t>
        </is>
      </c>
      <c r="C31" s="3" t="n">
        <v>8</v>
      </c>
      <c r="D31" s="2" t="inlineStr"/>
      <c r="E31" s="2" t="inlineStr">
        <is>
          <t>VIDRIOS</t>
        </is>
      </c>
      <c r="F31" s="2" t="inlineStr">
        <is>
          <t>VALOR M2</t>
        </is>
      </c>
      <c r="G31" s="2" t="inlineStr"/>
      <c r="H31" s="2" t="inlineStr">
        <is>
          <t>VALOR M2</t>
        </is>
      </c>
      <c r="I31" s="2" t="inlineStr"/>
    </row>
    <row r="32">
      <c r="A32" s="2" t="inlineStr">
        <is>
          <t>Hoja6</t>
        </is>
      </c>
      <c r="B32" s="2" t="inlineStr">
        <is>
          <t>PRESUPUESTOS PUERTAS TUBO 40x40 Y 40x100</t>
        </is>
      </c>
      <c r="C32" s="3" t="n">
        <v>10</v>
      </c>
      <c r="D32" s="3" t="n">
        <v>1</v>
      </c>
      <c r="E32" s="2" t="inlineStr">
        <is>
          <t>DOBLE INC.</t>
        </is>
      </c>
      <c r="F32" s="3" t="n">
        <v>15900</v>
      </c>
      <c r="G32" s="2" t="inlineStr"/>
      <c r="H32" s="3" t="n">
        <v>15900</v>
      </c>
      <c r="I32" s="2" t="inlineStr"/>
    </row>
    <row r="33">
      <c r="A33" s="2" t="inlineStr">
        <is>
          <t>Hoja6</t>
        </is>
      </c>
      <c r="B33" s="2" t="inlineStr">
        <is>
          <t>PRESUPUESTOS PUERTAS TUBO 40x40 Y 40x100</t>
        </is>
      </c>
      <c r="C33" s="3" t="n">
        <v>11</v>
      </c>
      <c r="D33" s="3" t="n">
        <v>2</v>
      </c>
      <c r="E33" s="2" t="inlineStr">
        <is>
          <t>TRIPLE INC.</t>
        </is>
      </c>
      <c r="F33" s="3" t="n">
        <v>21200</v>
      </c>
      <c r="G33" s="2" t="inlineStr"/>
      <c r="H33" s="3" t="n">
        <v>21200</v>
      </c>
      <c r="I33" s="2" t="inlineStr"/>
    </row>
    <row r="34">
      <c r="A34" s="2" t="inlineStr">
        <is>
          <t>Hoja6</t>
        </is>
      </c>
      <c r="B34" s="2" t="inlineStr">
        <is>
          <t>PRESUPUESTOS PUERTAS TUBO 40x40 Y 40x100</t>
        </is>
      </c>
      <c r="C34" s="3" t="n">
        <v>12</v>
      </c>
      <c r="D34" s="3" t="n">
        <v>3</v>
      </c>
      <c r="E34" s="2" t="inlineStr">
        <is>
          <t>VITREA INC.</t>
        </is>
      </c>
      <c r="F34" s="3" t="n">
        <v>26500</v>
      </c>
      <c r="G34" s="2" t="inlineStr"/>
      <c r="H34" s="3" t="n">
        <v>26500</v>
      </c>
      <c r="I34" s="2" t="inlineStr"/>
    </row>
    <row r="35">
      <c r="A35" s="2" t="inlineStr">
        <is>
          <t>Hoja6</t>
        </is>
      </c>
      <c r="B35" s="2" t="inlineStr">
        <is>
          <t>PRESUPUESTOS PUERTAS TUBO 40x40 Y 40x100</t>
        </is>
      </c>
      <c r="C35" s="3" t="n">
        <v>13</v>
      </c>
      <c r="D35" s="3" t="n">
        <v>4</v>
      </c>
      <c r="E35" s="2" t="inlineStr">
        <is>
          <t>BRONC.4mm</t>
        </is>
      </c>
      <c r="F35" s="3" t="n">
        <v>23320</v>
      </c>
      <c r="G35" s="2" t="inlineStr"/>
      <c r="H35" s="3" t="n">
        <v>23320</v>
      </c>
      <c r="I35" s="2" t="inlineStr"/>
    </row>
    <row r="36">
      <c r="A36" s="2" t="inlineStr">
        <is>
          <t>Hoja6</t>
        </is>
      </c>
      <c r="B36" s="2" t="inlineStr">
        <is>
          <t>PRESUPUESTOS PUERTAS TUBO 40x40 Y 40x100</t>
        </is>
      </c>
      <c r="C36" s="3" t="n">
        <v>14</v>
      </c>
      <c r="D36" s="3" t="n">
        <v>5</v>
      </c>
      <c r="E36" s="2" t="inlineStr">
        <is>
          <t>BRONC.5mm</t>
        </is>
      </c>
      <c r="F36" s="3" t="n">
        <v>29150</v>
      </c>
      <c r="G36" s="2" t="inlineStr"/>
      <c r="H36" s="3" t="n">
        <v>29150</v>
      </c>
      <c r="I36" s="2" t="inlineStr"/>
    </row>
    <row r="37">
      <c r="A37" s="2" t="inlineStr">
        <is>
          <t>Hoja6</t>
        </is>
      </c>
      <c r="B37" s="2" t="inlineStr">
        <is>
          <t>PRESUPUESTOS PUERTAS TUBO 40x40 Y 40x100</t>
        </is>
      </c>
      <c r="C37" s="3" t="n">
        <v>15</v>
      </c>
      <c r="D37" s="3" t="n">
        <v>6</v>
      </c>
      <c r="E37" s="2" t="inlineStr">
        <is>
          <t>CATEDRAL</t>
        </is>
      </c>
      <c r="F37" s="3" t="n">
        <v>18900</v>
      </c>
      <c r="G37" s="2" t="inlineStr"/>
      <c r="H37" s="3" t="n">
        <v>18900</v>
      </c>
      <c r="I37" s="2" t="inlineStr"/>
    </row>
    <row r="38">
      <c r="A38" s="2" t="inlineStr">
        <is>
          <t>Hoja6</t>
        </is>
      </c>
      <c r="B38" s="2" t="inlineStr">
        <is>
          <t>PRESUPUESTOS PUERTAS TUBO 40x40 Y 40x100</t>
        </is>
      </c>
      <c r="C38" s="3" t="n">
        <v>16</v>
      </c>
      <c r="D38" s="3" t="n">
        <v>7</v>
      </c>
      <c r="E38" s="2" t="inlineStr">
        <is>
          <t>CAT.COLOR</t>
        </is>
      </c>
      <c r="F38" s="3" t="n">
        <v>23330</v>
      </c>
      <c r="G38" s="2" t="inlineStr"/>
      <c r="H38" s="3" t="n">
        <v>23330</v>
      </c>
      <c r="I38" s="2" t="inlineStr"/>
    </row>
    <row r="39">
      <c r="A39" s="2" t="inlineStr">
        <is>
          <t>Hoja6</t>
        </is>
      </c>
      <c r="B39" s="2" t="inlineStr">
        <is>
          <t>PRESUPUESTOS PUERTAS TUBO 40x40 Y 40x100</t>
        </is>
      </c>
      <c r="C39" s="3" t="n">
        <v>17</v>
      </c>
      <c r="D39" s="3" t="n">
        <v>8</v>
      </c>
      <c r="E39" s="2" t="inlineStr">
        <is>
          <t>CR.INC.6mm</t>
        </is>
      </c>
      <c r="F39" s="3" t="n">
        <v>31800</v>
      </c>
      <c r="G39" s="2" t="inlineStr"/>
      <c r="H39" s="3" t="n">
        <v>31800</v>
      </c>
      <c r="I39" s="2" t="inlineStr"/>
    </row>
    <row r="40">
      <c r="A40" s="2" t="inlineStr">
        <is>
          <t>Hoja6</t>
        </is>
      </c>
      <c r="B40" s="2" t="inlineStr">
        <is>
          <t>PRESUPUESTOS PUERTAS TUBO 40x40 Y 40x100</t>
        </is>
      </c>
      <c r="C40" s="3" t="n">
        <v>18</v>
      </c>
      <c r="D40" s="3" t="n">
        <v>9</v>
      </c>
      <c r="E40" s="2" t="inlineStr">
        <is>
          <t>INASTILLABLE</t>
        </is>
      </c>
      <c r="F40" s="3" t="n">
        <v>60230</v>
      </c>
      <c r="G40" s="2" t="inlineStr"/>
      <c r="H40" s="3" t="n">
        <v>60230</v>
      </c>
      <c r="I40" s="2" t="inlineStr"/>
    </row>
    <row r="41">
      <c r="A41" s="2" t="inlineStr">
        <is>
          <t>Hoja6</t>
        </is>
      </c>
      <c r="B41" s="2" t="inlineStr">
        <is>
          <t>PRESUPUESTOS PUERTAS TUBO 40x40 Y 40x100</t>
        </is>
      </c>
      <c r="C41" s="3" t="n">
        <v>19</v>
      </c>
      <c r="D41" s="3" t="n">
        <v>10</v>
      </c>
      <c r="E41" s="2" t="inlineStr">
        <is>
          <t>SOLAR COOL 5mm</t>
        </is>
      </c>
      <c r="F41" s="3" t="n">
        <v>35810</v>
      </c>
      <c r="G41" s="2" t="inlineStr"/>
      <c r="H41" s="3" t="n">
        <v>35810</v>
      </c>
      <c r="I41" s="2" t="inlineStr"/>
    </row>
    <row r="42">
      <c r="A42" s="2" t="inlineStr">
        <is>
          <t>Hoja6</t>
        </is>
      </c>
      <c r="B42" s="2" t="inlineStr">
        <is>
          <t>PRESUPUESTOS PUERTAS TUBO 40x40 Y 40x100</t>
        </is>
      </c>
      <c r="C42" s="3" t="n">
        <v>20</v>
      </c>
      <c r="D42" s="3" t="n">
        <v>11</v>
      </c>
      <c r="E42" s="2" t="inlineStr">
        <is>
          <t>NO HAY</t>
        </is>
      </c>
      <c r="F42" s="2" t="inlineStr"/>
      <c r="G42" s="2" t="inlineStr"/>
      <c r="H42" s="2" t="inlineStr"/>
      <c r="I42" s="2" t="inlineStr"/>
    </row>
    <row r="43">
      <c r="A43" s="2" t="inlineStr">
        <is>
          <t>Hoja7</t>
        </is>
      </c>
      <c r="B43" s="2" t="inlineStr">
        <is>
          <t>PRESUPUESTOS LINEA 5000</t>
        </is>
      </c>
      <c r="C43" s="3" t="n">
        <v>8</v>
      </c>
      <c r="D43" s="2" t="inlineStr"/>
      <c r="E43" s="2" t="inlineStr"/>
      <c r="F43" s="2" t="inlineStr">
        <is>
          <t>INCOLOR</t>
        </is>
      </c>
      <c r="G43" s="2" t="inlineStr">
        <is>
          <t>CAFE</t>
        </is>
      </c>
      <c r="H43" s="2" t="inlineStr">
        <is>
          <t>INCOLOR</t>
        </is>
      </c>
      <c r="I43" s="2" t="inlineStr">
        <is>
          <t>CAFE</t>
        </is>
      </c>
    </row>
    <row r="44">
      <c r="A44" s="2" t="inlineStr">
        <is>
          <t>Hoja7</t>
        </is>
      </c>
      <c r="B44" s="2" t="inlineStr">
        <is>
          <t>PRESUPUESTOS LINEA 5000</t>
        </is>
      </c>
      <c r="C44" s="3" t="n">
        <v>10</v>
      </c>
      <c r="D44" s="2" t="inlineStr"/>
      <c r="E44" s="2" t="inlineStr">
        <is>
          <t>BURLETE</t>
        </is>
      </c>
      <c r="F44" s="3" t="n">
        <v>300</v>
      </c>
      <c r="G44" s="3" t="n">
        <v>150</v>
      </c>
      <c r="H44" s="3" t="n">
        <v>300</v>
      </c>
      <c r="I44" s="3" t="n">
        <v>150</v>
      </c>
    </row>
    <row r="45">
      <c r="A45" s="2" t="inlineStr">
        <is>
          <t>Hoja7</t>
        </is>
      </c>
      <c r="B45" s="2" t="inlineStr">
        <is>
          <t>PRESUPUESTOS LINEA 5000</t>
        </is>
      </c>
      <c r="C45" s="3" t="n">
        <v>11</v>
      </c>
      <c r="D45" s="2" t="inlineStr"/>
      <c r="E45" s="2" t="inlineStr">
        <is>
          <t>FELPA</t>
        </is>
      </c>
      <c r="F45" s="3" t="n">
        <v>130</v>
      </c>
      <c r="G45" s="3" t="n">
        <v>140</v>
      </c>
      <c r="H45" s="3" t="n">
        <v>130</v>
      </c>
      <c r="I45" s="3" t="n">
        <v>140</v>
      </c>
    </row>
    <row r="46">
      <c r="A46" s="2" t="inlineStr">
        <is>
          <t>Hoja7</t>
        </is>
      </c>
      <c r="B46" s="2" t="inlineStr">
        <is>
          <t>PRESUPUESTOS LINEA 5000</t>
        </is>
      </c>
      <c r="C46" s="3" t="n">
        <v>12</v>
      </c>
      <c r="D46" s="2" t="inlineStr"/>
      <c r="E46" s="2" t="inlineStr">
        <is>
          <t>RODAM.</t>
        </is>
      </c>
      <c r="F46" s="3" t="n">
        <v>350</v>
      </c>
      <c r="G46" s="3" t="n">
        <v>350</v>
      </c>
      <c r="H46" s="3" t="n">
        <v>350</v>
      </c>
      <c r="I46" s="3" t="n">
        <v>350</v>
      </c>
    </row>
    <row r="47">
      <c r="A47" s="2" t="inlineStr">
        <is>
          <t>Hoja7</t>
        </is>
      </c>
      <c r="B47" s="2" t="inlineStr">
        <is>
          <t>PRESUPUESTOS LINEA 5000</t>
        </is>
      </c>
      <c r="C47" s="3" t="n">
        <v>13</v>
      </c>
      <c r="D47" s="2" t="inlineStr"/>
      <c r="E47" s="2" t="inlineStr">
        <is>
          <t>PESTILLO</t>
        </is>
      </c>
      <c r="F47" s="3" t="n">
        <v>1200</v>
      </c>
      <c r="G47" s="3" t="n">
        <v>1400</v>
      </c>
      <c r="H47" s="3" t="n">
        <v>1200</v>
      </c>
      <c r="I47" s="3" t="n">
        <v>1400</v>
      </c>
    </row>
    <row r="48">
      <c r="A48" s="2" t="inlineStr">
        <is>
          <t>Hoja7</t>
        </is>
      </c>
      <c r="B48" s="2" t="inlineStr">
        <is>
          <t>PRESUPUESTOS LINEA 5000</t>
        </is>
      </c>
      <c r="C48" s="3" t="n">
        <v>15</v>
      </c>
      <c r="D48" s="2" t="inlineStr"/>
      <c r="E48" s="2" t="inlineStr">
        <is>
          <t>VIDRIO</t>
        </is>
      </c>
      <c r="F48" s="2" t="inlineStr"/>
      <c r="G48" s="2" t="inlineStr"/>
      <c r="H48" s="2" t="inlineStr"/>
      <c r="I48" s="2" t="inlineStr"/>
    </row>
    <row r="49">
      <c r="A49" s="2" t="inlineStr">
        <is>
          <t>Hoja7</t>
        </is>
      </c>
      <c r="B49" s="2" t="inlineStr">
        <is>
          <t>PRESUPUESTOS LINEA 5000</t>
        </is>
      </c>
      <c r="C49" s="3" t="n">
        <v>17</v>
      </c>
      <c r="D49" s="2" t="inlineStr"/>
      <c r="E49" s="3" t="n">
        <v>1</v>
      </c>
      <c r="F49" s="2" t="inlineStr">
        <is>
          <t>DOBLE INC.</t>
        </is>
      </c>
      <c r="G49" s="3" t="n">
        <v>15900</v>
      </c>
      <c r="H49" s="2" t="inlineStr">
        <is>
          <t>DOBLE INC.</t>
        </is>
      </c>
      <c r="I49" s="3" t="n">
        <v>15900</v>
      </c>
    </row>
    <row r="50">
      <c r="A50" s="2" t="inlineStr">
        <is>
          <t>Hoja7</t>
        </is>
      </c>
      <c r="B50" s="2" t="inlineStr">
        <is>
          <t>PRESUPUESTOS LINEA 5000</t>
        </is>
      </c>
      <c r="C50" s="3" t="n">
        <v>18</v>
      </c>
      <c r="D50" s="2" t="inlineStr"/>
      <c r="E50" s="3" t="n">
        <v>2</v>
      </c>
      <c r="F50" s="2" t="inlineStr">
        <is>
          <t>TRIPLE INC.</t>
        </is>
      </c>
      <c r="G50" s="3" t="n">
        <v>21200</v>
      </c>
      <c r="H50" s="2" t="inlineStr">
        <is>
          <t>TRIPLE INC.</t>
        </is>
      </c>
      <c r="I50" s="3" t="n">
        <v>21200</v>
      </c>
    </row>
    <row r="51">
      <c r="A51" s="2" t="inlineStr">
        <is>
          <t>Hoja7</t>
        </is>
      </c>
      <c r="B51" s="2" t="inlineStr">
        <is>
          <t>PRESUPUESTOS LINEA 5000</t>
        </is>
      </c>
      <c r="C51" s="3" t="n">
        <v>19</v>
      </c>
      <c r="D51" s="2" t="inlineStr"/>
      <c r="E51" s="3" t="n">
        <v>3</v>
      </c>
      <c r="F51" s="2" t="inlineStr">
        <is>
          <t>CATEDRAL</t>
        </is>
      </c>
      <c r="G51" s="3" t="n">
        <v>18900</v>
      </c>
      <c r="H51" s="2" t="inlineStr">
        <is>
          <t>CATEDRAL</t>
        </is>
      </c>
      <c r="I51" s="3" t="n">
        <v>18900</v>
      </c>
    </row>
    <row r="52">
      <c r="A52" s="2" t="inlineStr">
        <is>
          <t>Hoja7</t>
        </is>
      </c>
      <c r="B52" s="2" t="inlineStr">
        <is>
          <t>PRESUPUESTOS LINEA 5000</t>
        </is>
      </c>
      <c r="C52" s="3" t="n">
        <v>20</v>
      </c>
      <c r="D52" s="2" t="inlineStr"/>
      <c r="E52" s="3" t="n">
        <v>4</v>
      </c>
      <c r="F52" s="2" t="inlineStr">
        <is>
          <t>BRONC.4mm</t>
        </is>
      </c>
      <c r="G52" s="3" t="n">
        <v>23320</v>
      </c>
      <c r="H52" s="2" t="inlineStr">
        <is>
          <t>BRONC.4mm</t>
        </is>
      </c>
      <c r="I52" s="3" t="n">
        <v>23320</v>
      </c>
    </row>
    <row r="53">
      <c r="A53" s="2" t="inlineStr">
        <is>
          <t>Hoja7</t>
        </is>
      </c>
      <c r="B53" s="2" t="inlineStr">
        <is>
          <t>PRESUPUESTOS LINEA 5000</t>
        </is>
      </c>
      <c r="C53" s="3" t="n">
        <v>21</v>
      </c>
      <c r="D53" s="2" t="inlineStr"/>
      <c r="E53" s="3" t="n">
        <v>5</v>
      </c>
      <c r="F53" s="2" t="inlineStr">
        <is>
          <t>CAT.COLOR</t>
        </is>
      </c>
      <c r="G53" s="3" t="n">
        <v>23330</v>
      </c>
      <c r="H53" s="2" t="inlineStr">
        <is>
          <t>CAT.COLOR</t>
        </is>
      </c>
      <c r="I53" s="3" t="n">
        <v>23330</v>
      </c>
    </row>
    <row r="54">
      <c r="A54" s="2" t="inlineStr">
        <is>
          <t>Hoja7</t>
        </is>
      </c>
      <c r="B54" s="2" t="inlineStr">
        <is>
          <t>PRESUPUESTOS LINEA 5000</t>
        </is>
      </c>
      <c r="C54" s="3" t="n">
        <v>22</v>
      </c>
      <c r="D54" s="2" t="inlineStr"/>
      <c r="E54" s="3" t="n">
        <v>6</v>
      </c>
      <c r="F54" s="2" t="inlineStr">
        <is>
          <t>STOP SOL 4mm</t>
        </is>
      </c>
      <c r="G54" s="3" t="n">
        <v>31520</v>
      </c>
      <c r="H54" s="2" t="inlineStr">
        <is>
          <t>STOP SOL 4mm</t>
        </is>
      </c>
      <c r="I54" s="3" t="n">
        <v>31520</v>
      </c>
    </row>
    <row r="55">
      <c r="A55" s="2" t="inlineStr">
        <is>
          <t>Hoja7</t>
        </is>
      </c>
      <c r="B55" s="2" t="inlineStr">
        <is>
          <t>PRESUPUESTOS LINEA 5000</t>
        </is>
      </c>
      <c r="C55" s="3" t="n">
        <v>23</v>
      </c>
      <c r="D55" s="2" t="inlineStr"/>
      <c r="E55" s="3" t="n">
        <v>7</v>
      </c>
      <c r="F55" s="2" t="inlineStr">
        <is>
          <t>NO HAY</t>
        </is>
      </c>
      <c r="G55" s="2" t="inlineStr"/>
      <c r="H55" s="2" t="inlineStr">
        <is>
          <t>NO HAY</t>
        </is>
      </c>
      <c r="I55" s="2" t="inlineStr"/>
    </row>
    <row r="56">
      <c r="A56" s="2" t="inlineStr">
        <is>
          <t>Hoja8</t>
        </is>
      </c>
      <c r="B56" s="2" t="inlineStr">
        <is>
          <t>FIJOS CON TUBULAR RECTANGULAR</t>
        </is>
      </c>
      <c r="C56" s="3" t="n">
        <v>15</v>
      </c>
      <c r="D56" s="2" t="inlineStr"/>
      <c r="E56" s="2" t="inlineStr"/>
      <c r="F56" s="2" t="inlineStr">
        <is>
          <t>VIDRIOS</t>
        </is>
      </c>
      <c r="G56" s="2" t="inlineStr"/>
      <c r="H56" s="2" t="inlineStr">
        <is>
          <t>VIDRIOS</t>
        </is>
      </c>
      <c r="I56" s="2" t="inlineStr"/>
    </row>
    <row r="57">
      <c r="A57" s="2" t="inlineStr">
        <is>
          <t>Hoja8</t>
        </is>
      </c>
      <c r="B57" s="2" t="inlineStr">
        <is>
          <t>FIJOS CON TUBULAR RECTANGULAR</t>
        </is>
      </c>
      <c r="C57" s="3" t="n">
        <v>17</v>
      </c>
      <c r="D57" s="2" t="inlineStr"/>
      <c r="E57" s="3" t="n">
        <v>1</v>
      </c>
      <c r="F57" s="2" t="inlineStr">
        <is>
          <t>INCOLORO 4mm</t>
        </is>
      </c>
      <c r="G57" s="3" t="n">
        <v>22690</v>
      </c>
      <c r="H57" s="2" t="inlineStr">
        <is>
          <t>INCOLORO 4mm</t>
        </is>
      </c>
      <c r="I57" s="3" t="n">
        <v>22690</v>
      </c>
    </row>
    <row r="58">
      <c r="A58" s="2" t="inlineStr">
        <is>
          <t>Hoja8</t>
        </is>
      </c>
      <c r="B58" s="2" t="inlineStr">
        <is>
          <t>FIJOS CON TUBULAR RECTANGULAR</t>
        </is>
      </c>
      <c r="C58" s="3" t="n">
        <v>18</v>
      </c>
      <c r="D58" s="2" t="inlineStr"/>
      <c r="E58" s="3" t="n">
        <v>2</v>
      </c>
      <c r="F58" s="2" t="inlineStr">
        <is>
          <t>INCOLORO 5mm</t>
        </is>
      </c>
      <c r="G58" s="3" t="n">
        <v>28360</v>
      </c>
      <c r="H58" s="2" t="inlineStr">
        <is>
          <t>INCOLORO 5mm</t>
        </is>
      </c>
      <c r="I58" s="3" t="n">
        <v>28360</v>
      </c>
    </row>
    <row r="59">
      <c r="A59" s="2" t="inlineStr">
        <is>
          <t>Hoja8</t>
        </is>
      </c>
      <c r="B59" s="2" t="inlineStr">
        <is>
          <t>FIJOS CON TUBULAR RECTANGULAR</t>
        </is>
      </c>
      <c r="C59" s="3" t="n">
        <v>19</v>
      </c>
      <c r="D59" s="2" t="inlineStr"/>
      <c r="E59" s="3" t="n">
        <v>3</v>
      </c>
      <c r="F59" s="2" t="inlineStr">
        <is>
          <t>INCOLORO 6mm</t>
        </is>
      </c>
      <c r="G59" s="3" t="n">
        <v>34030</v>
      </c>
      <c r="H59" s="2" t="inlineStr">
        <is>
          <t>INCOLORO 6mm</t>
        </is>
      </c>
      <c r="I59" s="3" t="n">
        <v>34030</v>
      </c>
    </row>
    <row r="60">
      <c r="A60" s="2" t="inlineStr">
        <is>
          <t>Hoja8</t>
        </is>
      </c>
      <c r="B60" s="2" t="inlineStr">
        <is>
          <t>FIJOS CON TUBULAR RECTANGULAR</t>
        </is>
      </c>
      <c r="C60" s="3" t="n">
        <v>20</v>
      </c>
      <c r="D60" s="2" t="inlineStr"/>
      <c r="E60" s="3" t="n">
        <v>4</v>
      </c>
      <c r="F60" s="2" t="inlineStr">
        <is>
          <t>BRONC.4mm</t>
        </is>
      </c>
      <c r="G60" s="3" t="n">
        <v>25660</v>
      </c>
      <c r="H60" s="2" t="inlineStr">
        <is>
          <t>BRONC.4mm</t>
        </is>
      </c>
      <c r="I60" s="3" t="n">
        <v>25660</v>
      </c>
    </row>
    <row r="61">
      <c r="A61" s="2" t="inlineStr">
        <is>
          <t>Hoja8</t>
        </is>
      </c>
      <c r="B61" s="2" t="inlineStr">
        <is>
          <t>FIJOS CON TUBULAR RECTANGULAR</t>
        </is>
      </c>
      <c r="C61" s="3" t="n">
        <v>21</v>
      </c>
      <c r="D61" s="2" t="inlineStr"/>
      <c r="E61" s="3" t="n">
        <v>5</v>
      </c>
      <c r="F61" s="2" t="inlineStr">
        <is>
          <t>BRONC.5mm</t>
        </is>
      </c>
      <c r="G61" s="3" t="n">
        <v>32070</v>
      </c>
      <c r="H61" s="2" t="inlineStr">
        <is>
          <t>BRONC.5mm</t>
        </is>
      </c>
      <c r="I61" s="3" t="n">
        <v>32070</v>
      </c>
    </row>
    <row r="62">
      <c r="A62" s="2" t="inlineStr">
        <is>
          <t>Hoja8</t>
        </is>
      </c>
      <c r="B62" s="2" t="inlineStr">
        <is>
          <t>FIJOS CON TUBULAR RECTANGULAR</t>
        </is>
      </c>
      <c r="C62" s="3" t="n">
        <v>22</v>
      </c>
      <c r="D62" s="2" t="inlineStr"/>
      <c r="E62" s="3" t="n">
        <v>6</v>
      </c>
      <c r="F62" s="2" t="inlineStr">
        <is>
          <t>BRONC.6mm</t>
        </is>
      </c>
      <c r="G62" s="3" t="n">
        <v>38480</v>
      </c>
      <c r="H62" s="2" t="inlineStr">
        <is>
          <t>BRONC.6mm</t>
        </is>
      </c>
      <c r="I62" s="3" t="n">
        <v>38480</v>
      </c>
    </row>
    <row r="63">
      <c r="A63" s="2" t="inlineStr">
        <is>
          <t>Hoja8</t>
        </is>
      </c>
      <c r="B63" s="2" t="inlineStr">
        <is>
          <t>FIJOS CON TUBULAR RECTANGULAR</t>
        </is>
      </c>
      <c r="C63" s="3" t="n">
        <v>23</v>
      </c>
      <c r="D63" s="2" t="inlineStr"/>
      <c r="E63" s="3" t="n">
        <v>7</v>
      </c>
      <c r="F63" s="2" t="inlineStr">
        <is>
          <t>CATEDRAL</t>
        </is>
      </c>
      <c r="G63" s="3" t="n">
        <v>20790</v>
      </c>
      <c r="H63" s="2" t="inlineStr">
        <is>
          <t>CATEDRAL</t>
        </is>
      </c>
      <c r="I63" s="3" t="n">
        <v>20790</v>
      </c>
    </row>
    <row r="64">
      <c r="A64" s="2" t="inlineStr">
        <is>
          <t>Hoja8</t>
        </is>
      </c>
      <c r="B64" s="2" t="inlineStr">
        <is>
          <t>FIJOS CON TUBULAR RECTANGULAR</t>
        </is>
      </c>
      <c r="C64" s="3" t="n">
        <v>24</v>
      </c>
      <c r="D64" s="2" t="inlineStr"/>
      <c r="E64" s="3" t="n">
        <v>8</v>
      </c>
      <c r="F64" s="2" t="inlineStr">
        <is>
          <t>CAT.COLOR</t>
        </is>
      </c>
      <c r="G64" s="3" t="n">
        <v>25670</v>
      </c>
      <c r="H64" s="2" t="inlineStr">
        <is>
          <t>CAT.COLOR</t>
        </is>
      </c>
      <c r="I64" s="3" t="n">
        <v>25670</v>
      </c>
    </row>
    <row r="65">
      <c r="A65" s="2" t="inlineStr">
        <is>
          <t>Hoja8</t>
        </is>
      </c>
      <c r="B65" s="2" t="inlineStr">
        <is>
          <t>FIJOS CON TUBULAR RECTANGULAR</t>
        </is>
      </c>
      <c r="C65" s="3" t="n">
        <v>25</v>
      </c>
      <c r="D65" s="2" t="inlineStr"/>
      <c r="E65" s="3" t="n">
        <v>9</v>
      </c>
      <c r="F65" s="2" t="inlineStr">
        <is>
          <t>SOLAR COOL 5mm</t>
        </is>
      </c>
      <c r="G65" s="3" t="n">
        <v>39400</v>
      </c>
      <c r="H65" s="2" t="inlineStr">
        <is>
          <t>SOLAR COOL 5mm</t>
        </is>
      </c>
      <c r="I65" s="3" t="n">
        <v>39400</v>
      </c>
    </row>
    <row r="66">
      <c r="A66" s="2" t="inlineStr">
        <is>
          <t>Hoja8</t>
        </is>
      </c>
      <c r="B66" s="2" t="inlineStr">
        <is>
          <t>FIJOS CON TUBULAR RECTANGULAR</t>
        </is>
      </c>
      <c r="C66" s="3" t="n">
        <v>26</v>
      </c>
      <c r="D66" s="2" t="inlineStr"/>
      <c r="E66" s="3" t="n">
        <v>10</v>
      </c>
      <c r="F66" s="2" t="inlineStr">
        <is>
          <t>INASTILLABLE 6,4mm</t>
        </is>
      </c>
      <c r="G66" s="3" t="n">
        <v>66260</v>
      </c>
      <c r="H66" s="2" t="inlineStr">
        <is>
          <t>INASTILLABLE 6,4mm</t>
        </is>
      </c>
      <c r="I66" s="3" t="n">
        <v>66260</v>
      </c>
    </row>
    <row r="67">
      <c r="A67" s="2" t="inlineStr">
        <is>
          <t>Hoja8</t>
        </is>
      </c>
      <c r="B67" s="2" t="inlineStr">
        <is>
          <t>FIJOS CON TUBULAR RECTANGULAR</t>
        </is>
      </c>
      <c r="C67" s="3" t="n">
        <v>27</v>
      </c>
      <c r="D67" s="2" t="inlineStr"/>
      <c r="E67" s="3" t="n">
        <v>11</v>
      </c>
      <c r="F67" s="2" t="inlineStr">
        <is>
          <t>INASTILLABLE 8,4mm</t>
        </is>
      </c>
      <c r="G67" s="3" t="n">
        <v>88430</v>
      </c>
      <c r="H67" s="2" t="inlineStr">
        <is>
          <t>INASTILLABLE 8,4mm</t>
        </is>
      </c>
      <c r="I67" s="3" t="n">
        <v>88430</v>
      </c>
    </row>
    <row r="68">
      <c r="A68" s="2" t="inlineStr">
        <is>
          <t>Hoja8</t>
        </is>
      </c>
      <c r="B68" s="2" t="inlineStr">
        <is>
          <t>FIJOS CON TUBULAR RECTANGULAR</t>
        </is>
      </c>
      <c r="C68" s="3" t="n">
        <v>28</v>
      </c>
      <c r="D68" s="2" t="inlineStr"/>
      <c r="E68" s="3" t="n">
        <v>12</v>
      </c>
      <c r="F68" s="2" t="inlineStr">
        <is>
          <t>INASTILLABLE 10,4mm</t>
        </is>
      </c>
      <c r="G68" s="3" t="n">
        <v>110430</v>
      </c>
      <c r="H68" s="2" t="inlineStr">
        <is>
          <t>INASTILLABLE 10,4mm</t>
        </is>
      </c>
      <c r="I68" s="3" t="n">
        <v>110430</v>
      </c>
    </row>
    <row r="69">
      <c r="A69" s="2" t="inlineStr">
        <is>
          <t>Hoja9</t>
        </is>
      </c>
      <c r="B69" s="2" t="inlineStr">
        <is>
          <t>FIJOS CON CENTRO DE PUERTA</t>
        </is>
      </c>
      <c r="C69" s="3" t="n">
        <v>15</v>
      </c>
      <c r="D69" s="2" t="inlineStr"/>
      <c r="E69" s="2" t="inlineStr">
        <is>
          <t>VIDRIOS</t>
        </is>
      </c>
      <c r="F69" s="2" t="inlineStr"/>
      <c r="G69" s="2" t="inlineStr"/>
      <c r="H69" s="2" t="inlineStr"/>
      <c r="I69" s="2" t="inlineStr"/>
    </row>
    <row r="70">
      <c r="A70" s="2" t="inlineStr">
        <is>
          <t>Hoja9</t>
        </is>
      </c>
      <c r="B70" s="2" t="inlineStr">
        <is>
          <t>FIJOS CON CENTRO DE PUERTA</t>
        </is>
      </c>
      <c r="C70" s="3" t="n">
        <v>17</v>
      </c>
      <c r="D70" s="2" t="inlineStr"/>
      <c r="E70" s="3" t="n">
        <v>1</v>
      </c>
      <c r="F70" s="2" t="inlineStr">
        <is>
          <t>DOBLE</t>
        </is>
      </c>
      <c r="G70" s="3" t="n">
        <v>15900</v>
      </c>
      <c r="H70" s="2" t="inlineStr">
        <is>
          <t>DOBLE</t>
        </is>
      </c>
      <c r="I70" s="3" t="n">
        <v>15900</v>
      </c>
    </row>
    <row r="71">
      <c r="A71" s="2" t="inlineStr">
        <is>
          <t>Hoja9</t>
        </is>
      </c>
      <c r="B71" s="2" t="inlineStr">
        <is>
          <t>FIJOS CON CENTRO DE PUERTA</t>
        </is>
      </c>
      <c r="C71" s="3" t="n">
        <v>18</v>
      </c>
      <c r="D71" s="2" t="inlineStr"/>
      <c r="E71" s="3" t="n">
        <v>2</v>
      </c>
      <c r="F71" s="2" t="inlineStr">
        <is>
          <t>TRIPLE</t>
        </is>
      </c>
      <c r="G71" s="3" t="n">
        <v>21200</v>
      </c>
      <c r="H71" s="2" t="inlineStr">
        <is>
          <t>TRIPLE</t>
        </is>
      </c>
      <c r="I71" s="3" t="n">
        <v>21200</v>
      </c>
    </row>
    <row r="72">
      <c r="A72" s="2" t="inlineStr">
        <is>
          <t>Hoja9</t>
        </is>
      </c>
      <c r="B72" s="2" t="inlineStr">
        <is>
          <t>FIJOS CON CENTRO DE PUERTA</t>
        </is>
      </c>
      <c r="C72" s="3" t="n">
        <v>19</v>
      </c>
      <c r="D72" s="2" t="inlineStr"/>
      <c r="E72" s="3" t="n">
        <v>3</v>
      </c>
      <c r="F72" s="2" t="inlineStr">
        <is>
          <t>VITREA</t>
        </is>
      </c>
      <c r="G72" s="3" t="n">
        <v>26500</v>
      </c>
      <c r="H72" s="2" t="inlineStr">
        <is>
          <t>VITREA</t>
        </is>
      </c>
      <c r="I72" s="3" t="n">
        <v>26500</v>
      </c>
    </row>
    <row r="73">
      <c r="A73" s="2" t="inlineStr">
        <is>
          <t>Hoja9</t>
        </is>
      </c>
      <c r="B73" s="2" t="inlineStr">
        <is>
          <t>FIJOS CON CENTRO DE PUERTA</t>
        </is>
      </c>
      <c r="C73" s="3" t="n">
        <v>20</v>
      </c>
      <c r="D73" s="2" t="inlineStr"/>
      <c r="E73" s="3" t="n">
        <v>4</v>
      </c>
      <c r="F73" s="2" t="inlineStr">
        <is>
          <t>BRONC.4mm</t>
        </is>
      </c>
      <c r="G73" s="3" t="n">
        <v>23320</v>
      </c>
      <c r="H73" s="2" t="inlineStr">
        <is>
          <t>BRONC.4mm</t>
        </is>
      </c>
      <c r="I73" s="3" t="n">
        <v>23320</v>
      </c>
    </row>
    <row r="74">
      <c r="A74" s="2" t="inlineStr">
        <is>
          <t>Hoja9</t>
        </is>
      </c>
      <c r="B74" s="2" t="inlineStr">
        <is>
          <t>FIJOS CON CENTRO DE PUERTA</t>
        </is>
      </c>
      <c r="C74" s="3" t="n">
        <v>21</v>
      </c>
      <c r="D74" s="2" t="inlineStr"/>
      <c r="E74" s="3" t="n">
        <v>5</v>
      </c>
      <c r="F74" s="2" t="inlineStr">
        <is>
          <t>BRONC.5mm</t>
        </is>
      </c>
      <c r="G74" s="3" t="n">
        <v>29150</v>
      </c>
      <c r="H74" s="2" t="inlineStr">
        <is>
          <t>BRONC.5mm</t>
        </is>
      </c>
      <c r="I74" s="3" t="n">
        <v>29150</v>
      </c>
    </row>
    <row r="75">
      <c r="A75" s="2" t="inlineStr">
        <is>
          <t>Hoja9</t>
        </is>
      </c>
      <c r="B75" s="2" t="inlineStr">
        <is>
          <t>FIJOS CON CENTRO DE PUERTA</t>
        </is>
      </c>
      <c r="C75" s="3" t="n">
        <v>22</v>
      </c>
      <c r="D75" s="2" t="inlineStr"/>
      <c r="E75" s="3" t="n">
        <v>6</v>
      </c>
      <c r="F75" s="2" t="inlineStr">
        <is>
          <t>CATEDRAL</t>
        </is>
      </c>
      <c r="G75" s="3" t="n">
        <v>18900</v>
      </c>
      <c r="H75" s="2" t="inlineStr">
        <is>
          <t>CATEDRAL</t>
        </is>
      </c>
      <c r="I75" s="3" t="n">
        <v>18900</v>
      </c>
    </row>
    <row r="76">
      <c r="A76" s="2" t="inlineStr">
        <is>
          <t>Hoja9</t>
        </is>
      </c>
      <c r="B76" s="2" t="inlineStr">
        <is>
          <t>FIJOS CON CENTRO DE PUERTA</t>
        </is>
      </c>
      <c r="C76" s="3" t="n">
        <v>23</v>
      </c>
      <c r="D76" s="2" t="inlineStr"/>
      <c r="E76" s="3" t="n">
        <v>7</v>
      </c>
      <c r="F76" s="2" t="inlineStr">
        <is>
          <t>CAT.COLOR</t>
        </is>
      </c>
      <c r="G76" s="3" t="n">
        <v>23330</v>
      </c>
      <c r="H76" s="2" t="inlineStr">
        <is>
          <t>CAT.COLOR</t>
        </is>
      </c>
      <c r="I76" s="3" t="n">
        <v>23330</v>
      </c>
    </row>
    <row r="77">
      <c r="A77" s="2" t="inlineStr">
        <is>
          <t>Hoja9</t>
        </is>
      </c>
      <c r="B77" s="2" t="inlineStr">
        <is>
          <t>FIJOS CON CENTRO DE PUERTA</t>
        </is>
      </c>
      <c r="C77" s="3" t="n">
        <v>24</v>
      </c>
      <c r="D77" s="2" t="inlineStr"/>
      <c r="E77" s="3" t="n">
        <v>8</v>
      </c>
      <c r="F77" s="2" t="inlineStr">
        <is>
          <t>STOP SOL 4mm</t>
        </is>
      </c>
      <c r="G77" s="3" t="n">
        <v>34680</v>
      </c>
      <c r="H77" s="2" t="inlineStr">
        <is>
          <t>STOP SOL 4mm</t>
        </is>
      </c>
      <c r="I77" s="3" t="n">
        <v>34680</v>
      </c>
    </row>
    <row r="78">
      <c r="A78" s="2" t="inlineStr">
        <is>
          <t>Hoja9</t>
        </is>
      </c>
      <c r="B78" s="2" t="inlineStr">
        <is>
          <t>FIJOS CON CENTRO DE PUERTA</t>
        </is>
      </c>
      <c r="C78" s="3" t="n">
        <v>25</v>
      </c>
      <c r="D78" s="2" t="inlineStr"/>
      <c r="E78" s="3" t="n">
        <v>9</v>
      </c>
      <c r="F78" s="2" t="inlineStr">
        <is>
          <t>INASTILLABLE 6,4MM</t>
        </is>
      </c>
      <c r="G78" s="3" t="n">
        <v>60230</v>
      </c>
      <c r="H78" s="2" t="inlineStr">
        <is>
          <t>INASTILLABLE 6,4MM</t>
        </is>
      </c>
      <c r="I78" s="3" t="n">
        <v>60230</v>
      </c>
    </row>
    <row r="79">
      <c r="A79" s="2" t="inlineStr">
        <is>
          <t>Hoja10</t>
        </is>
      </c>
      <c r="B79" s="2" t="inlineStr">
        <is>
          <t>PRESUPUESTOS LINEA 8000</t>
        </is>
      </c>
      <c r="C79" s="3" t="n">
        <v>8</v>
      </c>
      <c r="D79" s="2" t="inlineStr"/>
      <c r="E79" s="2" t="inlineStr"/>
      <c r="F79" s="2" t="inlineStr">
        <is>
          <t>INCOLOR</t>
        </is>
      </c>
      <c r="G79" s="2" t="inlineStr">
        <is>
          <t>CAFE</t>
        </is>
      </c>
      <c r="H79" s="2" t="inlineStr">
        <is>
          <t>INCOLOR</t>
        </is>
      </c>
      <c r="I79" s="2" t="inlineStr">
        <is>
          <t>CAFE</t>
        </is>
      </c>
    </row>
    <row r="80">
      <c r="A80" s="2" t="inlineStr">
        <is>
          <t>Hoja10</t>
        </is>
      </c>
      <c r="B80" s="2" t="inlineStr">
        <is>
          <t>PRESUPUESTOS LINEA 8000</t>
        </is>
      </c>
      <c r="C80" s="3" t="n">
        <v>8</v>
      </c>
      <c r="D80" s="2" t="inlineStr">
        <is>
          <t>Sal silica 1kilo</t>
        </is>
      </c>
      <c r="E80" s="2" t="inlineStr"/>
      <c r="F80" s="3" t="n">
        <v>3265</v>
      </c>
      <c r="G80" s="2">
        <f>CEILING(K8+K8*80%,10)</f>
        <v/>
      </c>
      <c r="H80" s="3" t="n">
        <v>3265</v>
      </c>
      <c r="I80" s="3" t="n">
        <v>5880</v>
      </c>
    </row>
    <row r="81">
      <c r="A81" s="2" t="inlineStr">
        <is>
          <t>Hoja10</t>
        </is>
      </c>
      <c r="B81" s="2" t="inlineStr">
        <is>
          <t>PRESUPUESTOS LINEA 8000</t>
        </is>
      </c>
      <c r="C81" s="3" t="n">
        <v>9</v>
      </c>
      <c r="D81" s="2" t="inlineStr">
        <is>
          <t>Union perfil</t>
        </is>
      </c>
      <c r="E81" s="2" t="inlineStr"/>
      <c r="F81" s="3" t="n">
        <v>43</v>
      </c>
      <c r="G81" s="2">
        <f>CEILING(K9+K9*80%,10)</f>
        <v/>
      </c>
      <c r="H81" s="3" t="n">
        <v>43</v>
      </c>
      <c r="I81" s="3" t="n">
        <v>80</v>
      </c>
    </row>
    <row r="82">
      <c r="A82" s="2" t="inlineStr">
        <is>
          <t>Hoja10</t>
        </is>
      </c>
      <c r="B82" s="2" t="inlineStr">
        <is>
          <t>PRESUPUESTOS LINEA 8000</t>
        </is>
      </c>
      <c r="C82" s="3" t="n">
        <v>10</v>
      </c>
      <c r="D82" s="2" t="inlineStr"/>
      <c r="E82" s="2" t="inlineStr">
        <is>
          <t>BURLETE</t>
        </is>
      </c>
      <c r="F82" s="3" t="n">
        <v>300</v>
      </c>
      <c r="G82" s="3" t="n">
        <v>300</v>
      </c>
      <c r="H82" s="3" t="n">
        <v>300</v>
      </c>
      <c r="I82" s="3" t="n">
        <v>300</v>
      </c>
    </row>
    <row r="83">
      <c r="A83" s="2" t="inlineStr">
        <is>
          <t>Hoja10</t>
        </is>
      </c>
      <c r="B83" s="2" t="inlineStr">
        <is>
          <t>PRESUPUESTOS LINEA 8000</t>
        </is>
      </c>
      <c r="C83" s="3" t="n">
        <v>10</v>
      </c>
      <c r="D83" s="2" t="inlineStr">
        <is>
          <t>Butilo 25mts</t>
        </is>
      </c>
      <c r="E83" s="2" t="inlineStr"/>
      <c r="F83" s="3" t="n">
        <v>6611</v>
      </c>
      <c r="G83" s="2">
        <f>CEILING(K10+K10*80%,10)</f>
        <v/>
      </c>
      <c r="H83" s="3" t="n">
        <v>6611</v>
      </c>
      <c r="I83" s="3" t="n">
        <v>11900</v>
      </c>
    </row>
    <row r="84">
      <c r="A84" s="2" t="inlineStr">
        <is>
          <t>Hoja10</t>
        </is>
      </c>
      <c r="B84" s="2" t="inlineStr">
        <is>
          <t>PRESUPUESTOS LINEA 8000</t>
        </is>
      </c>
      <c r="C84" s="3" t="n">
        <v>11</v>
      </c>
      <c r="D84" s="2" t="inlineStr"/>
      <c r="E84" s="2" t="inlineStr">
        <is>
          <t>FELPA</t>
        </is>
      </c>
      <c r="F84" s="3" t="n">
        <v>160</v>
      </c>
      <c r="G84" s="3" t="n">
        <v>160</v>
      </c>
      <c r="H84" s="3" t="n">
        <v>160</v>
      </c>
      <c r="I84" s="3" t="n">
        <v>160</v>
      </c>
    </row>
    <row r="85">
      <c r="A85" s="2" t="inlineStr">
        <is>
          <t>Hoja10</t>
        </is>
      </c>
      <c r="B85" s="2" t="inlineStr">
        <is>
          <t>PRESUPUESTOS LINEA 8000</t>
        </is>
      </c>
      <c r="C85" s="3" t="n">
        <v>12</v>
      </c>
      <c r="D85" s="2" t="inlineStr"/>
      <c r="E85" s="2" t="inlineStr">
        <is>
          <t>RODAM.</t>
        </is>
      </c>
      <c r="F85" s="3" t="n">
        <v>1300</v>
      </c>
      <c r="G85" s="3" t="n">
        <v>1300</v>
      </c>
      <c r="H85" s="3" t="n">
        <v>1300</v>
      </c>
      <c r="I85" s="3" t="n">
        <v>1300</v>
      </c>
    </row>
    <row r="86">
      <c r="A86" s="2" t="inlineStr">
        <is>
          <t>Hoja10</t>
        </is>
      </c>
      <c r="B86" s="2" t="inlineStr">
        <is>
          <t>PRESUPUESTOS LINEA 8000</t>
        </is>
      </c>
      <c r="C86" s="3" t="n">
        <v>13</v>
      </c>
      <c r="D86" s="3" t="n">
        <v>50160</v>
      </c>
      <c r="E86" s="2" t="inlineStr">
        <is>
          <t>PESTILLO</t>
        </is>
      </c>
      <c r="F86" s="3" t="n">
        <v>4500</v>
      </c>
      <c r="G86" s="3" t="n">
        <v>4500</v>
      </c>
      <c r="H86" s="3" t="n">
        <v>4500</v>
      </c>
      <c r="I86" s="3" t="n">
        <v>4500</v>
      </c>
    </row>
    <row r="87">
      <c r="A87" s="2" t="inlineStr">
        <is>
          <t>Hoja10</t>
        </is>
      </c>
      <c r="B87" s="2" t="inlineStr">
        <is>
          <t>PRESUPUESTOS LINEA 8000</t>
        </is>
      </c>
      <c r="C87" s="3" t="n">
        <v>15</v>
      </c>
      <c r="D87" s="3" t="n">
        <v>39600</v>
      </c>
      <c r="E87" s="2" t="inlineStr">
        <is>
          <t>VIDRIOS</t>
        </is>
      </c>
      <c r="F87" s="2" t="inlineStr"/>
      <c r="G87" s="2" t="inlineStr"/>
      <c r="H87" s="2" t="inlineStr"/>
      <c r="I87" s="2" t="inlineStr"/>
    </row>
    <row r="88">
      <c r="A88" s="2" t="inlineStr">
        <is>
          <t>Hoja10</t>
        </is>
      </c>
      <c r="B88" s="2" t="inlineStr">
        <is>
          <t>PRESUPUESTOS LINEA 8000</t>
        </is>
      </c>
      <c r="C88" s="3" t="n">
        <v>15</v>
      </c>
      <c r="D88" s="2" t="inlineStr">
        <is>
          <t>Cristal termopanel</t>
        </is>
      </c>
      <c r="E88" s="2" t="inlineStr">
        <is>
          <t>Mano de obra</t>
        </is>
      </c>
      <c r="F88" s="2" t="inlineStr"/>
      <c r="G88" s="2" t="inlineStr"/>
      <c r="H88" s="2" t="inlineStr"/>
      <c r="I88" s="2" t="inlineStr"/>
    </row>
    <row r="89">
      <c r="A89" s="2" t="inlineStr">
        <is>
          <t>Hoja10</t>
        </is>
      </c>
      <c r="B89" s="2" t="inlineStr">
        <is>
          <t>PRESUPUESTOS LINEA 8000</t>
        </is>
      </c>
      <c r="C89" s="3" t="n">
        <v>16</v>
      </c>
      <c r="D89" s="3" t="n">
        <v>43660</v>
      </c>
      <c r="E89" s="2" t="inlineStr">
        <is>
          <t>=</t>
        </is>
      </c>
      <c r="F89" s="2" t="inlineStr"/>
      <c r="G89" s="2" t="inlineStr"/>
      <c r="H89" s="2" t="inlineStr"/>
      <c r="I89" s="2" t="inlineStr"/>
    </row>
    <row r="90">
      <c r="A90" s="2" t="inlineStr">
        <is>
          <t>Hoja10</t>
        </is>
      </c>
      <c r="B90" s="2" t="inlineStr">
        <is>
          <t>PRESUPUESTOS LINEA 8000</t>
        </is>
      </c>
      <c r="C90" s="3" t="n">
        <v>16</v>
      </c>
      <c r="D90" s="2" t="inlineStr"/>
      <c r="E90" s="2" t="inlineStr">
        <is>
          <t xml:space="preserve"> - 1mt²</t>
        </is>
      </c>
      <c r="F90" s="3" t="n">
        <v>20000</v>
      </c>
      <c r="G90" s="2" t="inlineStr"/>
      <c r="H90" s="3" t="n">
        <v>20000</v>
      </c>
      <c r="I90" s="2" t="inlineStr"/>
    </row>
    <row r="91">
      <c r="A91" s="2" t="inlineStr">
        <is>
          <t>Hoja10</t>
        </is>
      </c>
      <c r="B91" s="2" t="inlineStr">
        <is>
          <t>PRESUPUESTOS LINEA 8000</t>
        </is>
      </c>
      <c r="C91" s="3" t="n">
        <v>17</v>
      </c>
      <c r="D91" s="2" t="inlineStr"/>
      <c r="E91" s="3" t="n">
        <v>1</v>
      </c>
      <c r="F91" s="2" t="inlineStr">
        <is>
          <t>ESPEJO 4mm</t>
        </is>
      </c>
      <c r="G91" s="3" t="n">
        <v>36520</v>
      </c>
      <c r="H91" s="2" t="inlineStr">
        <is>
          <t>ESPEJO 4mm</t>
        </is>
      </c>
      <c r="I91" s="3" t="n">
        <v>36520</v>
      </c>
    </row>
    <row r="92">
      <c r="A92" s="2" t="inlineStr">
        <is>
          <t>Hoja10</t>
        </is>
      </c>
      <c r="B92" s="2" t="inlineStr">
        <is>
          <t>PRESUPUESTOS LINEA 8000</t>
        </is>
      </c>
      <c r="C92" s="3" t="n">
        <v>17</v>
      </c>
      <c r="D92" s="2" t="inlineStr"/>
      <c r="E92" s="2" t="inlineStr">
        <is>
          <t xml:space="preserve"> + 1mt² / - 2mt²</t>
        </is>
      </c>
      <c r="F92" s="3" t="n">
        <v>30000</v>
      </c>
      <c r="G92" s="2" t="inlineStr"/>
      <c r="H92" s="3" t="n">
        <v>30000</v>
      </c>
      <c r="I92" s="2" t="inlineStr"/>
    </row>
    <row r="93">
      <c r="A93" s="2" t="inlineStr">
        <is>
          <t>Hoja10</t>
        </is>
      </c>
      <c r="B93" s="2" t="inlineStr">
        <is>
          <t>PRESUPUESTOS LINEA 8000</t>
        </is>
      </c>
      <c r="C93" s="3" t="n">
        <v>18</v>
      </c>
      <c r="D93" s="2" t="inlineStr"/>
      <c r="E93" s="3" t="n">
        <v>2</v>
      </c>
      <c r="F93" s="2" t="inlineStr">
        <is>
          <t>TRIPLE INC.</t>
        </is>
      </c>
      <c r="G93" s="3" t="n">
        <v>21200</v>
      </c>
      <c r="H93" s="2" t="inlineStr">
        <is>
          <t>TRIPLE INC.</t>
        </is>
      </c>
      <c r="I93" s="3" t="n">
        <v>21200</v>
      </c>
    </row>
    <row r="94">
      <c r="A94" s="2" t="inlineStr">
        <is>
          <t>Hoja10</t>
        </is>
      </c>
      <c r="B94" s="2" t="inlineStr">
        <is>
          <t>PRESUPUESTOS LINEA 8000</t>
        </is>
      </c>
      <c r="C94" s="3" t="n">
        <v>18</v>
      </c>
      <c r="D94" s="2">
        <f>((C47+0.2)*(C48+0.2))*H18</f>
        <v/>
      </c>
      <c r="E94" s="2" t="inlineStr">
        <is>
          <t xml:space="preserve"> + 2mt² / - 3mt²</t>
        </is>
      </c>
      <c r="F94" s="3" t="n">
        <v>40000</v>
      </c>
      <c r="G94" s="2" t="inlineStr"/>
      <c r="H94" s="3" t="n">
        <v>40000</v>
      </c>
      <c r="I94" s="2" t="inlineStr"/>
    </row>
    <row r="95">
      <c r="A95" s="2" t="inlineStr">
        <is>
          <t>Hoja10</t>
        </is>
      </c>
      <c r="B95" s="2" t="inlineStr">
        <is>
          <t>PRESUPUESTOS LINEA 8000</t>
        </is>
      </c>
      <c r="C95" s="3" t="n">
        <v>19</v>
      </c>
      <c r="D95" s="2" t="inlineStr"/>
      <c r="E95" s="3" t="n">
        <v>3</v>
      </c>
      <c r="F95" s="2" t="inlineStr">
        <is>
          <t>VITREA INC.</t>
        </is>
      </c>
      <c r="G95" s="3" t="n">
        <v>26500</v>
      </c>
      <c r="H95" s="2" t="inlineStr">
        <is>
          <t>VITREA INC.</t>
        </is>
      </c>
      <c r="I95" s="3" t="n">
        <v>26500</v>
      </c>
    </row>
    <row r="96">
      <c r="A96" s="2" t="inlineStr">
        <is>
          <t>Hoja10</t>
        </is>
      </c>
      <c r="B96" s="2" t="inlineStr">
        <is>
          <t>PRESUPUESTOS LINEA 8000</t>
        </is>
      </c>
      <c r="C96" s="3" t="n">
        <v>19</v>
      </c>
      <c r="D96" s="2">
        <f>((C47+0.2)*(C48+0.2))*H19</f>
        <v/>
      </c>
      <c r="E96" s="2" t="inlineStr">
        <is>
          <t xml:space="preserve"> + 3mt² / - 4mt²</t>
        </is>
      </c>
      <c r="F96" s="3" t="n">
        <v>50000</v>
      </c>
      <c r="G96" s="2" t="inlineStr"/>
      <c r="H96" s="3" t="n">
        <v>50000</v>
      </c>
      <c r="I96" s="2" t="inlineStr"/>
    </row>
    <row r="97">
      <c r="A97" s="2" t="inlineStr">
        <is>
          <t>Hoja10</t>
        </is>
      </c>
      <c r="B97" s="2" t="inlineStr">
        <is>
          <t>PRESUPUESTOS LINEA 8000</t>
        </is>
      </c>
      <c r="C97" s="3" t="n">
        <v>20</v>
      </c>
      <c r="D97" s="2" t="inlineStr"/>
      <c r="E97" s="3" t="n">
        <v>4</v>
      </c>
      <c r="F97" s="2" t="inlineStr">
        <is>
          <t>CRISTAL 6mm Inc</t>
        </is>
      </c>
      <c r="G97" s="3" t="n">
        <v>31800</v>
      </c>
      <c r="H97" s="2" t="inlineStr">
        <is>
          <t>CRISTAL 6mm Inc</t>
        </is>
      </c>
      <c r="I97" s="3" t="n">
        <v>31800</v>
      </c>
    </row>
    <row r="98">
      <c r="A98" s="2" t="inlineStr">
        <is>
          <t>Hoja10</t>
        </is>
      </c>
      <c r="B98" s="2" t="inlineStr">
        <is>
          <t>PRESUPUESTOS LINEA 8000</t>
        </is>
      </c>
      <c r="C98" s="3" t="n">
        <v>20</v>
      </c>
      <c r="D98" s="2" t="inlineStr"/>
      <c r="E98" s="2" t="inlineStr">
        <is>
          <t xml:space="preserve"> + 4mt²</t>
        </is>
      </c>
      <c r="F98" s="3" t="n">
        <v>60000</v>
      </c>
      <c r="G98" s="2" t="inlineStr"/>
      <c r="H98" s="3" t="n">
        <v>60000</v>
      </c>
      <c r="I98" s="2" t="inlineStr"/>
    </row>
    <row r="99">
      <c r="A99" s="2" t="inlineStr">
        <is>
          <t>Hoja10</t>
        </is>
      </c>
      <c r="B99" s="2" t="inlineStr">
        <is>
          <t>PRESUPUESTOS LINEA 8000</t>
        </is>
      </c>
      <c r="C99" s="3" t="n">
        <v>21</v>
      </c>
      <c r="D99" s="2" t="inlineStr"/>
      <c r="E99" s="3" t="n">
        <v>5</v>
      </c>
      <c r="F99" s="2" t="inlineStr">
        <is>
          <t>BRONC.4mm</t>
        </is>
      </c>
      <c r="G99" s="3" t="n">
        <v>23320</v>
      </c>
      <c r="H99" s="2" t="inlineStr">
        <is>
          <t>BRONC.4mm</t>
        </is>
      </c>
      <c r="I99" s="3" t="n">
        <v>23320</v>
      </c>
    </row>
    <row r="100">
      <c r="A100" s="2" t="inlineStr">
        <is>
          <t>Hoja10</t>
        </is>
      </c>
      <c r="B100" s="2" t="inlineStr">
        <is>
          <t>PRESUPUESTOS LINEA 8000</t>
        </is>
      </c>
      <c r="C100" s="3" t="n">
        <v>22</v>
      </c>
      <c r="D100" s="2" t="inlineStr"/>
      <c r="E100" s="3" t="n">
        <v>6</v>
      </c>
      <c r="F100" s="2" t="inlineStr">
        <is>
          <t>BRONC.5mm</t>
        </is>
      </c>
      <c r="G100" s="3" t="n">
        <v>29150</v>
      </c>
      <c r="H100" s="2" t="inlineStr">
        <is>
          <t>BRONC.5mm</t>
        </is>
      </c>
      <c r="I100" s="3" t="n">
        <v>29150</v>
      </c>
    </row>
    <row r="101">
      <c r="A101" s="2" t="inlineStr">
        <is>
          <t>Hoja10</t>
        </is>
      </c>
      <c r="B101" s="2" t="inlineStr">
        <is>
          <t>PRESUPUESTOS LINEA 8000</t>
        </is>
      </c>
      <c r="C101" s="3" t="n">
        <v>22</v>
      </c>
      <c r="D101" s="2">
        <f>((C47+0.2)*(C48+0.2))*H22</f>
        <v/>
      </c>
      <c r="E101" s="2" t="inlineStr"/>
      <c r="F101" s="2" t="inlineStr"/>
      <c r="G101" s="2" t="inlineStr"/>
      <c r="H101" s="2" t="inlineStr"/>
      <c r="I101" s="2" t="inlineStr"/>
    </row>
    <row r="102">
      <c r="A102" s="2" t="inlineStr">
        <is>
          <t>Hoja10</t>
        </is>
      </c>
      <c r="B102" s="2" t="inlineStr">
        <is>
          <t>PRESUPUESTOS LINEA 8000</t>
        </is>
      </c>
      <c r="C102" s="3" t="n">
        <v>23</v>
      </c>
      <c r="D102" s="2" t="inlineStr"/>
      <c r="E102" s="3" t="n">
        <v>7</v>
      </c>
      <c r="F102" s="2" t="inlineStr">
        <is>
          <t>BRONC.6mm</t>
        </is>
      </c>
      <c r="G102" s="3" t="n">
        <v>34980</v>
      </c>
      <c r="H102" s="2" t="inlineStr">
        <is>
          <t>BRONC.6mm</t>
        </is>
      </c>
      <c r="I102" s="3" t="n">
        <v>34980</v>
      </c>
    </row>
    <row r="103">
      <c r="A103" s="2" t="inlineStr">
        <is>
          <t>Hoja10</t>
        </is>
      </c>
      <c r="B103" s="2" t="inlineStr">
        <is>
          <t>PRESUPUESTOS LINEA 8000</t>
        </is>
      </c>
      <c r="C103" s="3" t="n">
        <v>24</v>
      </c>
      <c r="D103" s="2" t="inlineStr"/>
      <c r="E103" s="3" t="n">
        <v>8</v>
      </c>
      <c r="F103" s="2" t="inlineStr">
        <is>
          <t>CATEDRAL</t>
        </is>
      </c>
      <c r="G103" s="3" t="n">
        <v>18900</v>
      </c>
      <c r="H103" s="2" t="inlineStr">
        <is>
          <t>CATEDRAL</t>
        </is>
      </c>
      <c r="I103" s="3" t="n">
        <v>18900</v>
      </c>
    </row>
    <row r="104">
      <c r="A104" s="2" t="inlineStr">
        <is>
          <t>Hoja10</t>
        </is>
      </c>
      <c r="B104" s="2" t="inlineStr">
        <is>
          <t>PRESUPUESTOS LINEA 8000</t>
        </is>
      </c>
      <c r="C104" s="3" t="n">
        <v>25</v>
      </c>
      <c r="D104" s="2" t="inlineStr"/>
      <c r="E104" s="3" t="n">
        <v>9</v>
      </c>
      <c r="F104" s="2" t="inlineStr">
        <is>
          <t>CAT.COLOR</t>
        </is>
      </c>
      <c r="G104" s="3" t="n">
        <v>23330</v>
      </c>
      <c r="H104" s="2" t="inlineStr">
        <is>
          <t>CAT.COLOR</t>
        </is>
      </c>
      <c r="I104" s="3" t="n">
        <v>23330</v>
      </c>
    </row>
    <row r="105">
      <c r="A105" s="2" t="inlineStr">
        <is>
          <t>Hoja10</t>
        </is>
      </c>
      <c r="B105" s="2" t="inlineStr">
        <is>
          <t>PRESUPUESTOS LINEA 8000</t>
        </is>
      </c>
      <c r="C105" s="3" t="n">
        <v>26</v>
      </c>
      <c r="D105" s="2" t="inlineStr"/>
      <c r="E105" s="3" t="n">
        <v>10</v>
      </c>
      <c r="F105" s="2" t="inlineStr">
        <is>
          <t>SOLAR COOL 5mm</t>
        </is>
      </c>
      <c r="G105" s="3" t="n">
        <v>35810</v>
      </c>
      <c r="H105" s="2" t="inlineStr">
        <is>
          <t>SOLAR COOL 5mm</t>
        </is>
      </c>
      <c r="I105" s="3" t="n">
        <v>35810</v>
      </c>
    </row>
    <row r="106">
      <c r="A106" s="2" t="inlineStr">
        <is>
          <t>Hoja10</t>
        </is>
      </c>
      <c r="B106" s="2" t="inlineStr">
        <is>
          <t>PRESUPUESTOS LINEA 8000</t>
        </is>
      </c>
      <c r="C106" s="3" t="n">
        <v>27</v>
      </c>
      <c r="D106" s="2" t="inlineStr"/>
      <c r="E106" s="3" t="n">
        <v>11</v>
      </c>
      <c r="F106" s="2" t="inlineStr">
        <is>
          <t>INASTILLABLE 6,4MM</t>
        </is>
      </c>
      <c r="G106" s="3" t="n">
        <v>60230</v>
      </c>
      <c r="H106" s="2" t="inlineStr">
        <is>
          <t>INASTILLABLE 6,4MM</t>
        </is>
      </c>
      <c r="I106" s="3" t="n">
        <v>60230</v>
      </c>
    </row>
    <row r="107">
      <c r="A107" s="2" t="inlineStr">
        <is>
          <t>Hoja10</t>
        </is>
      </c>
      <c r="B107" s="2" t="inlineStr">
        <is>
          <t>PRESUPUESTOS LINEA 8000</t>
        </is>
      </c>
      <c r="C107" s="3" t="n">
        <v>29</v>
      </c>
      <c r="D107" s="2" t="inlineStr"/>
      <c r="E107" s="2" t="inlineStr"/>
      <c r="F107" s="2" t="inlineStr">
        <is>
          <t>Separador 9,5</t>
        </is>
      </c>
      <c r="G107" s="2" t="inlineStr"/>
      <c r="H107" s="2" t="inlineStr">
        <is>
          <t>Separador 9,5</t>
        </is>
      </c>
      <c r="I107" s="2" t="inlineStr"/>
    </row>
    <row r="108">
      <c r="A108" s="2" t="inlineStr">
        <is>
          <t>Hoja10</t>
        </is>
      </c>
      <c r="B108" s="2" t="inlineStr">
        <is>
          <t>PRESUPUESTOS LINEA 8000</t>
        </is>
      </c>
      <c r="C108" s="3" t="n">
        <v>29</v>
      </c>
      <c r="D108" s="2">
        <f>(C47+C48)*2</f>
        <v/>
      </c>
      <c r="E108" s="2">
        <f>(L7/5)*I29</f>
        <v/>
      </c>
      <c r="F108" s="2">
        <f>J29+J29*25%</f>
        <v/>
      </c>
      <c r="G108" s="2" t="inlineStr"/>
      <c r="H108" s="3" t="n">
        <v>6402</v>
      </c>
      <c r="I108" s="2" t="inlineStr"/>
    </row>
    <row r="109">
      <c r="A109" s="2" t="inlineStr">
        <is>
          <t>Hoja10</t>
        </is>
      </c>
      <c r="B109" s="2" t="inlineStr">
        <is>
          <t>PRESUPUESTOS LINEA 8000</t>
        </is>
      </c>
      <c r="C109" s="3" t="n">
        <v>30</v>
      </c>
      <c r="D109" s="2" t="inlineStr"/>
      <c r="E109" s="2" t="inlineStr"/>
      <c r="F109" s="2" t="inlineStr">
        <is>
          <t>Union</t>
        </is>
      </c>
      <c r="G109" s="2" t="inlineStr"/>
      <c r="H109" s="2" t="inlineStr">
        <is>
          <t>Union</t>
        </is>
      </c>
      <c r="I109" s="2" t="inlineStr"/>
    </row>
    <row r="110">
      <c r="A110" s="2" t="inlineStr">
        <is>
          <t>Hoja10</t>
        </is>
      </c>
      <c r="B110" s="2" t="inlineStr">
        <is>
          <t>PRESUPUESTOS LINEA 8000</t>
        </is>
      </c>
      <c r="C110" s="3" t="n">
        <v>30</v>
      </c>
      <c r="D110" s="3" t="n">
        <v>4</v>
      </c>
      <c r="E110" s="2">
        <f>I30*L9</f>
        <v/>
      </c>
      <c r="F110" s="2">
        <f>J30+J30*25%</f>
        <v/>
      </c>
      <c r="G110" s="2" t="inlineStr"/>
      <c r="H110" s="3" t="n">
        <v>400</v>
      </c>
      <c r="I110" s="2" t="inlineStr"/>
    </row>
    <row r="111">
      <c r="A111" s="2" t="inlineStr">
        <is>
          <t>Hoja10</t>
        </is>
      </c>
      <c r="B111" s="2" t="inlineStr">
        <is>
          <t>PRESUPUESTOS LINEA 8000</t>
        </is>
      </c>
      <c r="C111" s="3" t="n">
        <v>31</v>
      </c>
      <c r="D111" s="2" t="inlineStr"/>
      <c r="E111" s="2" t="inlineStr"/>
      <c r="F111" s="2" t="inlineStr">
        <is>
          <t>butilo</t>
        </is>
      </c>
      <c r="G111" s="2" t="inlineStr"/>
      <c r="H111" s="2" t="inlineStr">
        <is>
          <t>butilo</t>
        </is>
      </c>
      <c r="I111" s="2" t="inlineStr"/>
    </row>
    <row r="112">
      <c r="A112" s="2" t="inlineStr">
        <is>
          <t>Hoja10</t>
        </is>
      </c>
      <c r="B112" s="2" t="inlineStr">
        <is>
          <t>PRESUPUESTOS LINEA 8000</t>
        </is>
      </c>
      <c r="C112" s="3" t="n">
        <v>31</v>
      </c>
      <c r="D112" s="2">
        <f>I29*2</f>
        <v/>
      </c>
      <c r="E112" s="2">
        <f>(L10/25)*I31</f>
        <v/>
      </c>
      <c r="F112" s="2">
        <f>J31+J31*25%</f>
        <v/>
      </c>
      <c r="G112" s="2" t="inlineStr"/>
      <c r="H112" s="3" t="n">
        <v>5236</v>
      </c>
      <c r="I112" s="2" t="inlineStr"/>
    </row>
    <row r="113">
      <c r="A113" s="2" t="inlineStr">
        <is>
          <t>Hoja10</t>
        </is>
      </c>
      <c r="B113" s="2" t="inlineStr">
        <is>
          <t>PRESUPUESTOS LINEA 8000</t>
        </is>
      </c>
      <c r="C113" s="3" t="n">
        <v>32</v>
      </c>
      <c r="D113" s="2" t="inlineStr"/>
      <c r="E113" s="2" t="inlineStr"/>
      <c r="F113" s="2" t="inlineStr">
        <is>
          <t>silica</t>
        </is>
      </c>
      <c r="G113" s="2" t="inlineStr"/>
      <c r="H113" s="2" t="inlineStr">
        <is>
          <t>silica</t>
        </is>
      </c>
      <c r="I113" s="2" t="inlineStr"/>
    </row>
    <row r="114">
      <c r="A114" s="2" t="inlineStr">
        <is>
          <t>Hoja10</t>
        </is>
      </c>
      <c r="B114" s="2" t="inlineStr">
        <is>
          <t>PRESUPUESTOS LINEA 8000</t>
        </is>
      </c>
      <c r="C114" s="3" t="n">
        <v>32</v>
      </c>
      <c r="D114" s="2">
        <f>I29/10</f>
        <v/>
      </c>
      <c r="E114" s="2">
        <f>(L8/25)*I32</f>
        <v/>
      </c>
      <c r="F114" s="2">
        <f>CEILING(J32+J32*25%,10)</f>
        <v/>
      </c>
      <c r="G114" s="2" t="inlineStr"/>
      <c r="H114" s="3" t="n">
        <v>130</v>
      </c>
      <c r="I114" s="2" t="inlineStr"/>
    </row>
    <row r="115">
      <c r="A115" s="2" t="inlineStr">
        <is>
          <t>Hoja10</t>
        </is>
      </c>
      <c r="B115" s="2" t="inlineStr">
        <is>
          <t>PRESUPUESTOS LINEA 8000</t>
        </is>
      </c>
      <c r="C115" s="3" t="n">
        <v>33</v>
      </c>
      <c r="D115" s="2" t="inlineStr"/>
      <c r="E115" s="2" t="inlineStr"/>
      <c r="F115" s="2" t="inlineStr">
        <is>
          <t>silicona</t>
        </is>
      </c>
      <c r="G115" s="2" t="inlineStr"/>
      <c r="H115" s="2" t="inlineStr">
        <is>
          <t>silicona</t>
        </is>
      </c>
      <c r="I115" s="2" t="inlineStr"/>
    </row>
    <row r="116">
      <c r="A116" s="2" t="inlineStr">
        <is>
          <t>Hoja10</t>
        </is>
      </c>
      <c r="B116" s="2" t="inlineStr">
        <is>
          <t>PRESUPUESTOS LINEA 8000</t>
        </is>
      </c>
      <c r="C116" s="3" t="n">
        <v>33</v>
      </c>
      <c r="D116" s="3" t="n">
        <v>1</v>
      </c>
      <c r="E116" s="2" t="inlineStr"/>
      <c r="F116" s="3" t="n">
        <v>5000</v>
      </c>
      <c r="G116" s="2" t="inlineStr"/>
      <c r="H116" s="3" t="n">
        <v>5000</v>
      </c>
      <c r="I116" s="2" t="inlineStr"/>
    </row>
    <row r="117">
      <c r="A117" s="2" t="inlineStr">
        <is>
          <t>Hoja11</t>
        </is>
      </c>
      <c r="B117" s="2" t="inlineStr">
        <is>
          <t>CELOSIAS</t>
        </is>
      </c>
      <c r="C117" s="3" t="n">
        <v>9</v>
      </c>
      <c r="D117" s="2" t="inlineStr"/>
      <c r="E117" s="3" t="n">
        <v>1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2" t="inlineStr">
        <is>
          <t>Hoja11</t>
        </is>
      </c>
      <c r="B118" s="2" t="inlineStr">
        <is>
          <t>CELOSIAS</t>
        </is>
      </c>
      <c r="C118" s="3" t="n">
        <v>10</v>
      </c>
      <c r="D118" s="2" t="inlineStr"/>
      <c r="E118" s="3" t="n">
        <v>2</v>
      </c>
      <c r="F118" s="3" t="n">
        <v>4600</v>
      </c>
      <c r="G118" s="3" t="n">
        <v>4750</v>
      </c>
      <c r="H118" s="3" t="n">
        <v>4600</v>
      </c>
      <c r="I118" s="3" t="n">
        <v>4750</v>
      </c>
    </row>
    <row r="119">
      <c r="A119" s="2" t="inlineStr">
        <is>
          <t>Hoja11</t>
        </is>
      </c>
      <c r="B119" s="2" t="inlineStr">
        <is>
          <t>CELOSIAS</t>
        </is>
      </c>
      <c r="C119" s="3" t="n">
        <v>11</v>
      </c>
      <c r="D119" s="2" t="inlineStr"/>
      <c r="E119" s="3" t="n">
        <v>3</v>
      </c>
      <c r="F119" s="3" t="n">
        <v>5420</v>
      </c>
      <c r="G119" s="3" t="n">
        <v>6620</v>
      </c>
      <c r="H119" s="3" t="n">
        <v>5420</v>
      </c>
      <c r="I119" s="3" t="n">
        <v>6620</v>
      </c>
    </row>
    <row r="120">
      <c r="A120" s="2" t="inlineStr">
        <is>
          <t>Hoja11</t>
        </is>
      </c>
      <c r="B120" s="2" t="inlineStr">
        <is>
          <t>CELOSIAS</t>
        </is>
      </c>
      <c r="C120" s="3" t="n">
        <v>12</v>
      </c>
      <c r="D120" s="2" t="inlineStr"/>
      <c r="E120" s="3" t="n">
        <v>4</v>
      </c>
      <c r="F120" s="3" t="n">
        <v>6900</v>
      </c>
      <c r="G120" s="3" t="n">
        <v>8200</v>
      </c>
      <c r="H120" s="3" t="n">
        <v>6900</v>
      </c>
      <c r="I120" s="3" t="n">
        <v>8200</v>
      </c>
    </row>
    <row r="121">
      <c r="A121" s="2" t="inlineStr">
        <is>
          <t>Hoja11</t>
        </is>
      </c>
      <c r="B121" s="2" t="inlineStr">
        <is>
          <t>CELOSIAS</t>
        </is>
      </c>
      <c r="C121" s="3" t="n">
        <v>13</v>
      </c>
      <c r="D121" s="2" t="inlineStr"/>
      <c r="E121" s="3" t="n">
        <v>5</v>
      </c>
      <c r="F121" s="3" t="n">
        <v>8200</v>
      </c>
      <c r="G121" s="3" t="n">
        <v>9200</v>
      </c>
      <c r="H121" s="3" t="n">
        <v>8200</v>
      </c>
      <c r="I121" s="3" t="n">
        <v>9200</v>
      </c>
    </row>
    <row r="122">
      <c r="A122" s="2" t="inlineStr">
        <is>
          <t>Hoja11</t>
        </is>
      </c>
      <c r="B122" s="2" t="inlineStr">
        <is>
          <t>CELOSIAS</t>
        </is>
      </c>
      <c r="C122" s="3" t="n">
        <v>14</v>
      </c>
      <c r="D122" s="2" t="inlineStr"/>
      <c r="E122" s="3" t="n">
        <v>6</v>
      </c>
      <c r="F122" s="3" t="n">
        <v>11000</v>
      </c>
      <c r="G122" s="3" t="n">
        <v>12300</v>
      </c>
      <c r="H122" s="3" t="n">
        <v>11000</v>
      </c>
      <c r="I122" s="3" t="n">
        <v>12300</v>
      </c>
    </row>
    <row r="123">
      <c r="A123" s="2" t="inlineStr">
        <is>
          <t>Hoja11</t>
        </is>
      </c>
      <c r="B123" s="2" t="inlineStr">
        <is>
          <t>CELOSIAS</t>
        </is>
      </c>
      <c r="C123" s="3" t="n">
        <v>17</v>
      </c>
      <c r="D123" s="2" t="inlineStr"/>
      <c r="E123" s="3" t="n">
        <v>1</v>
      </c>
      <c r="F123" s="2" t="inlineStr">
        <is>
          <t>DOBLE INC.</t>
        </is>
      </c>
      <c r="G123" s="3" t="n">
        <v>15900</v>
      </c>
      <c r="H123" s="2" t="inlineStr">
        <is>
          <t>DOBLE INC.</t>
        </is>
      </c>
      <c r="I123" s="3" t="n">
        <v>15900</v>
      </c>
    </row>
    <row r="124">
      <c r="A124" s="2" t="inlineStr">
        <is>
          <t>Hoja11</t>
        </is>
      </c>
      <c r="B124" s="2" t="inlineStr">
        <is>
          <t>CELOSIAS</t>
        </is>
      </c>
      <c r="C124" s="3" t="n">
        <v>18</v>
      </c>
      <c r="D124" s="2" t="inlineStr"/>
      <c r="E124" s="3" t="n">
        <v>2</v>
      </c>
      <c r="F124" s="2" t="inlineStr">
        <is>
          <t>TRIPLE INC.</t>
        </is>
      </c>
      <c r="G124" s="3" t="n">
        <v>21200</v>
      </c>
      <c r="H124" s="2" t="inlineStr">
        <is>
          <t>TRIPLE INC.</t>
        </is>
      </c>
      <c r="I124" s="3" t="n">
        <v>21200</v>
      </c>
    </row>
    <row r="125">
      <c r="A125" s="2" t="inlineStr">
        <is>
          <t>Hoja11</t>
        </is>
      </c>
      <c r="B125" s="2" t="inlineStr">
        <is>
          <t>CELOSIAS</t>
        </is>
      </c>
      <c r="C125" s="3" t="n">
        <v>19</v>
      </c>
      <c r="D125" s="2" t="inlineStr"/>
      <c r="E125" s="3" t="n">
        <v>3</v>
      </c>
      <c r="F125" s="2" t="inlineStr">
        <is>
          <t>VITREA INC.</t>
        </is>
      </c>
      <c r="G125" s="3" t="n">
        <v>26500</v>
      </c>
      <c r="H125" s="2" t="inlineStr">
        <is>
          <t>VITREA INC.</t>
        </is>
      </c>
      <c r="I125" s="3" t="n">
        <v>26500</v>
      </c>
    </row>
    <row r="126">
      <c r="A126" s="2" t="inlineStr">
        <is>
          <t>Hoja11</t>
        </is>
      </c>
      <c r="B126" s="2" t="inlineStr">
        <is>
          <t>CELOSIAS</t>
        </is>
      </c>
      <c r="C126" s="3" t="n">
        <v>20</v>
      </c>
      <c r="D126" s="2" t="inlineStr"/>
      <c r="E126" s="3" t="n">
        <v>4</v>
      </c>
      <c r="F126" s="2" t="inlineStr">
        <is>
          <t>BRONC.4mm</t>
        </is>
      </c>
      <c r="G126" s="3" t="n">
        <v>23320</v>
      </c>
      <c r="H126" s="2" t="inlineStr">
        <is>
          <t>BRONC.4mm</t>
        </is>
      </c>
      <c r="I126" s="3" t="n">
        <v>23320</v>
      </c>
    </row>
    <row r="127">
      <c r="A127" s="2" t="inlineStr">
        <is>
          <t>Hoja11</t>
        </is>
      </c>
      <c r="B127" s="2" t="inlineStr">
        <is>
          <t>CELOSIAS</t>
        </is>
      </c>
      <c r="C127" s="3" t="n">
        <v>21</v>
      </c>
      <c r="D127" s="2" t="inlineStr"/>
      <c r="E127" s="3" t="n">
        <v>5</v>
      </c>
      <c r="F127" s="2" t="inlineStr">
        <is>
          <t>BRONC.5mm</t>
        </is>
      </c>
      <c r="G127" s="3" t="n">
        <v>29150</v>
      </c>
      <c r="H127" s="2" t="inlineStr">
        <is>
          <t>BRONC.5mm</t>
        </is>
      </c>
      <c r="I127" s="3" t="n">
        <v>29150</v>
      </c>
    </row>
    <row r="128">
      <c r="A128" s="2" t="inlineStr">
        <is>
          <t>Hoja11</t>
        </is>
      </c>
      <c r="B128" s="2" t="inlineStr">
        <is>
          <t>CELOSIAS</t>
        </is>
      </c>
      <c r="C128" s="3" t="n">
        <v>22</v>
      </c>
      <c r="D128" s="2" t="inlineStr"/>
      <c r="E128" s="3" t="n">
        <v>6</v>
      </c>
      <c r="F128" s="2" t="inlineStr">
        <is>
          <t>CATEDRAL</t>
        </is>
      </c>
      <c r="G128" s="3" t="n">
        <v>18900</v>
      </c>
      <c r="H128" s="2" t="inlineStr">
        <is>
          <t>CATEDRAL</t>
        </is>
      </c>
      <c r="I128" s="3" t="n">
        <v>18900</v>
      </c>
    </row>
    <row r="129">
      <c r="A129" s="2" t="inlineStr">
        <is>
          <t>Hoja11</t>
        </is>
      </c>
      <c r="B129" s="2" t="inlineStr">
        <is>
          <t>CELOSIAS</t>
        </is>
      </c>
      <c r="C129" s="3" t="n">
        <v>23</v>
      </c>
      <c r="D129" s="2" t="inlineStr"/>
      <c r="E129" s="3" t="n">
        <v>7</v>
      </c>
      <c r="F129" s="2" t="inlineStr">
        <is>
          <t>CAT.COLOR</t>
        </is>
      </c>
      <c r="G129" s="3" t="n">
        <v>23330</v>
      </c>
      <c r="H129" s="2" t="inlineStr">
        <is>
          <t>CAT.COLOR</t>
        </is>
      </c>
      <c r="I129" s="3" t="n">
        <v>23330</v>
      </c>
    </row>
    <row r="130">
      <c r="A130" s="2" t="inlineStr">
        <is>
          <t>Hoja11</t>
        </is>
      </c>
      <c r="B130" s="2" t="inlineStr">
        <is>
          <t>CELOSIAS</t>
        </is>
      </c>
      <c r="C130" s="3" t="n">
        <v>24</v>
      </c>
      <c r="D130" s="2" t="inlineStr"/>
      <c r="E130" s="3" t="n">
        <v>8</v>
      </c>
      <c r="F130" s="2" t="inlineStr">
        <is>
          <t>CR.INC.6mm</t>
        </is>
      </c>
      <c r="G130" s="3" t="n">
        <v>31800</v>
      </c>
      <c r="H130" s="2" t="inlineStr">
        <is>
          <t>CR.INC.6mm</t>
        </is>
      </c>
      <c r="I130" s="3" t="n">
        <v>31800</v>
      </c>
    </row>
    <row r="131">
      <c r="A131" s="2" t="inlineStr">
        <is>
          <t>Hoja12</t>
        </is>
      </c>
      <c r="B131" s="2" t="inlineStr">
        <is>
          <t>PRESUPUESTOS LINEA 7000</t>
        </is>
      </c>
      <c r="C131" s="3" t="n">
        <v>8</v>
      </c>
      <c r="D131" s="2" t="inlineStr"/>
      <c r="E131" s="2" t="inlineStr"/>
      <c r="F131" s="2" t="inlineStr">
        <is>
          <t>INCOLOR</t>
        </is>
      </c>
      <c r="G131" s="2" t="inlineStr">
        <is>
          <t>CAFE</t>
        </is>
      </c>
      <c r="H131" s="2" t="inlineStr">
        <is>
          <t>INCOLOR</t>
        </is>
      </c>
      <c r="I131" s="2" t="inlineStr">
        <is>
          <t>CAFE</t>
        </is>
      </c>
    </row>
    <row r="132">
      <c r="A132" s="2" t="inlineStr">
        <is>
          <t>Hoja12</t>
        </is>
      </c>
      <c r="B132" s="2" t="inlineStr">
        <is>
          <t>PRESUPUESTOS LINEA 7000</t>
        </is>
      </c>
      <c r="C132" s="3" t="n">
        <v>10</v>
      </c>
      <c r="D132" s="2" t="inlineStr"/>
      <c r="E132" s="2" t="inlineStr">
        <is>
          <t>BURLETE</t>
        </is>
      </c>
      <c r="F132" s="3" t="n">
        <v>170</v>
      </c>
      <c r="G132" s="3" t="n">
        <v>170</v>
      </c>
      <c r="H132" s="3" t="n">
        <v>170</v>
      </c>
      <c r="I132" s="3" t="n">
        <v>170</v>
      </c>
    </row>
    <row r="133">
      <c r="A133" s="2" t="inlineStr">
        <is>
          <t>Hoja12</t>
        </is>
      </c>
      <c r="B133" s="2" t="inlineStr">
        <is>
          <t>PRESUPUESTOS LINEA 7000</t>
        </is>
      </c>
      <c r="C133" s="3" t="n">
        <v>11</v>
      </c>
      <c r="D133" s="2" t="inlineStr"/>
      <c r="E133" s="2" t="inlineStr">
        <is>
          <t>FELPA</t>
        </is>
      </c>
      <c r="F133" s="3" t="n">
        <v>110</v>
      </c>
      <c r="G133" s="3" t="n">
        <v>150</v>
      </c>
      <c r="H133" s="3" t="n">
        <v>110</v>
      </c>
      <c r="I133" s="3" t="n">
        <v>150</v>
      </c>
    </row>
    <row r="134">
      <c r="A134" s="2" t="inlineStr">
        <is>
          <t>Hoja12</t>
        </is>
      </c>
      <c r="B134" s="2" t="inlineStr">
        <is>
          <t>PRESUPUESTOS LINEA 7000</t>
        </is>
      </c>
      <c r="C134" s="3" t="n">
        <v>12</v>
      </c>
      <c r="D134" s="2" t="inlineStr"/>
      <c r="E134" s="2" t="inlineStr">
        <is>
          <t>RODAM.</t>
        </is>
      </c>
      <c r="F134" s="3" t="n">
        <v>441</v>
      </c>
      <c r="G134" s="3" t="n">
        <v>441</v>
      </c>
      <c r="H134" s="3" t="n">
        <v>441</v>
      </c>
      <c r="I134" s="3" t="n">
        <v>441</v>
      </c>
    </row>
    <row r="135">
      <c r="A135" s="2" t="inlineStr">
        <is>
          <t>Hoja12</t>
        </is>
      </c>
      <c r="B135" s="2" t="inlineStr">
        <is>
          <t>PRESUPUESTOS LINEA 7000</t>
        </is>
      </c>
      <c r="C135" s="3" t="n">
        <v>13</v>
      </c>
      <c r="D135" s="2" t="inlineStr"/>
      <c r="E135" s="2" t="inlineStr">
        <is>
          <t>PESTILLO</t>
        </is>
      </c>
      <c r="F135" s="3" t="n">
        <v>1733</v>
      </c>
      <c r="G135" s="3" t="n">
        <v>1733</v>
      </c>
      <c r="H135" s="3" t="n">
        <v>1733</v>
      </c>
      <c r="I135" s="3" t="n">
        <v>1733</v>
      </c>
    </row>
    <row r="136">
      <c r="A136" s="2" t="inlineStr">
        <is>
          <t>Hoja12</t>
        </is>
      </c>
      <c r="B136" s="2" t="inlineStr">
        <is>
          <t>PRESUPUESTOS LINEA 7000</t>
        </is>
      </c>
      <c r="C136" s="3" t="n">
        <v>15</v>
      </c>
      <c r="D136" s="2" t="inlineStr"/>
      <c r="E136" s="2" t="inlineStr">
        <is>
          <t>VIDRIOS</t>
        </is>
      </c>
      <c r="F136" s="2" t="inlineStr"/>
      <c r="G136" s="2" t="inlineStr"/>
      <c r="H136" s="2" t="inlineStr"/>
      <c r="I136" s="2" t="inlineStr"/>
    </row>
    <row r="137">
      <c r="A137" s="2" t="inlineStr">
        <is>
          <t>Hoja12</t>
        </is>
      </c>
      <c r="B137" s="2" t="inlineStr">
        <is>
          <t>PRESUPUESTOS LINEA 7000</t>
        </is>
      </c>
      <c r="C137" s="3" t="n">
        <v>17</v>
      </c>
      <c r="D137" s="2" t="inlineStr"/>
      <c r="E137" s="3" t="n">
        <v>1</v>
      </c>
      <c r="F137" s="2" t="inlineStr">
        <is>
          <t>DOBLE INC.</t>
        </is>
      </c>
      <c r="G137" s="3" t="n">
        <v>5500</v>
      </c>
      <c r="H137" s="2" t="inlineStr">
        <is>
          <t>DOBLE INC.</t>
        </is>
      </c>
      <c r="I137" s="3" t="n">
        <v>5500</v>
      </c>
    </row>
    <row r="138">
      <c r="A138" s="2" t="inlineStr">
        <is>
          <t>Hoja12</t>
        </is>
      </c>
      <c r="B138" s="2" t="inlineStr">
        <is>
          <t>PRESUPUESTOS LINEA 7000</t>
        </is>
      </c>
      <c r="C138" s="3" t="n">
        <v>18</v>
      </c>
      <c r="D138" s="2" t="inlineStr"/>
      <c r="E138" s="3" t="n">
        <v>2</v>
      </c>
      <c r="F138" s="2" t="inlineStr">
        <is>
          <t>TRIPLE INC.</t>
        </is>
      </c>
      <c r="G138" s="3" t="n">
        <v>7250</v>
      </c>
      <c r="H138" s="2" t="inlineStr">
        <is>
          <t>TRIPLE INC.</t>
        </is>
      </c>
      <c r="I138" s="3" t="n">
        <v>7250</v>
      </c>
    </row>
    <row r="139">
      <c r="A139" s="2" t="inlineStr">
        <is>
          <t>Hoja12</t>
        </is>
      </c>
      <c r="B139" s="2" t="inlineStr">
        <is>
          <t>PRESUPUESTOS LINEA 7000</t>
        </is>
      </c>
      <c r="C139" s="3" t="n">
        <v>19</v>
      </c>
      <c r="D139" s="2" t="inlineStr"/>
      <c r="E139" s="3" t="n">
        <v>3</v>
      </c>
      <c r="F139" s="2" t="inlineStr">
        <is>
          <t>VITREA INC.</t>
        </is>
      </c>
      <c r="G139" s="3" t="n">
        <v>9000</v>
      </c>
      <c r="H139" s="2" t="inlineStr">
        <is>
          <t>VITREA INC.</t>
        </is>
      </c>
      <c r="I139" s="3" t="n">
        <v>9000</v>
      </c>
    </row>
    <row r="140">
      <c r="A140" s="2" t="inlineStr">
        <is>
          <t>Hoja12</t>
        </is>
      </c>
      <c r="B140" s="2" t="inlineStr">
        <is>
          <t>PRESUPUESTOS LINEA 7000</t>
        </is>
      </c>
      <c r="C140" s="3" t="n">
        <v>20</v>
      </c>
      <c r="D140" s="2" t="inlineStr"/>
      <c r="E140" s="3" t="n">
        <v>4</v>
      </c>
      <c r="F140" s="2" t="inlineStr">
        <is>
          <t>BRONC.4mm</t>
        </is>
      </c>
      <c r="G140" s="3" t="n">
        <v>8250</v>
      </c>
      <c r="H140" s="2" t="inlineStr">
        <is>
          <t>BRONC.4mm</t>
        </is>
      </c>
      <c r="I140" s="3" t="n">
        <v>8250</v>
      </c>
    </row>
    <row r="141">
      <c r="A141" s="2" t="inlineStr">
        <is>
          <t>Hoja12</t>
        </is>
      </c>
      <c r="B141" s="2" t="inlineStr">
        <is>
          <t>PRESUPUESTOS LINEA 7000</t>
        </is>
      </c>
      <c r="C141" s="3" t="n">
        <v>21</v>
      </c>
      <c r="D141" s="2" t="inlineStr"/>
      <c r="E141" s="3" t="n">
        <v>5</v>
      </c>
      <c r="F141" s="2" t="inlineStr">
        <is>
          <t>BRONC.5mm</t>
        </is>
      </c>
      <c r="G141" s="3" t="n">
        <v>10125</v>
      </c>
      <c r="H141" s="2" t="inlineStr">
        <is>
          <t>BRONC.5mm</t>
        </is>
      </c>
      <c r="I141" s="3" t="n">
        <v>10125</v>
      </c>
    </row>
    <row r="142">
      <c r="A142" s="2" t="inlineStr">
        <is>
          <t>Hoja12</t>
        </is>
      </c>
      <c r="B142" s="2" t="inlineStr">
        <is>
          <t>PRESUPUESTOS LINEA 7000</t>
        </is>
      </c>
      <c r="C142" s="3" t="n">
        <v>22</v>
      </c>
      <c r="D142" s="2" t="inlineStr"/>
      <c r="E142" s="3" t="n">
        <v>6</v>
      </c>
      <c r="F142" s="2" t="inlineStr">
        <is>
          <t>CATEDRAL</t>
        </is>
      </c>
      <c r="G142" s="3" t="n">
        <v>6875</v>
      </c>
      <c r="H142" s="2" t="inlineStr">
        <is>
          <t>CATEDRAL</t>
        </is>
      </c>
      <c r="I142" s="3" t="n">
        <v>6875</v>
      </c>
    </row>
    <row r="143">
      <c r="A143" s="2" t="inlineStr">
        <is>
          <t>Hoja12</t>
        </is>
      </c>
      <c r="B143" s="2" t="inlineStr">
        <is>
          <t>PRESUPUESTOS LINEA 7000</t>
        </is>
      </c>
      <c r="C143" s="3" t="n">
        <v>23</v>
      </c>
      <c r="D143" s="2" t="inlineStr"/>
      <c r="E143" s="3" t="n">
        <v>7</v>
      </c>
      <c r="F143" s="2" t="inlineStr">
        <is>
          <t>CAT.COLOR</t>
        </is>
      </c>
      <c r="G143" s="3" t="n">
        <v>10560</v>
      </c>
      <c r="H143" s="2" t="inlineStr">
        <is>
          <t>CAT.COLOR</t>
        </is>
      </c>
      <c r="I143" s="3" t="n">
        <v>10560</v>
      </c>
    </row>
    <row r="144">
      <c r="A144" s="2" t="inlineStr">
        <is>
          <t>Hoja12</t>
        </is>
      </c>
      <c r="B144" s="2" t="inlineStr">
        <is>
          <t>PRESUPUESTOS LINEA 7000</t>
        </is>
      </c>
      <c r="C144" s="3" t="n">
        <v>24</v>
      </c>
      <c r="D144" s="2" t="inlineStr"/>
      <c r="E144" s="3" t="n">
        <v>8</v>
      </c>
      <c r="F144" s="2" t="inlineStr">
        <is>
          <t>CR.INC.6mm</t>
        </is>
      </c>
      <c r="G144" s="3" t="n">
        <v>11000</v>
      </c>
      <c r="H144" s="2" t="inlineStr">
        <is>
          <t>CR.INC.6mm</t>
        </is>
      </c>
      <c r="I144" s="3" t="n">
        <v>11000</v>
      </c>
    </row>
    <row r="145">
      <c r="A145" s="2" t="inlineStr">
        <is>
          <t>Hoja12</t>
        </is>
      </c>
      <c r="B145" s="2" t="inlineStr">
        <is>
          <t>PRESUPUESTOS LINEA 7000</t>
        </is>
      </c>
      <c r="C145" s="3" t="n">
        <v>25</v>
      </c>
      <c r="D145" s="2" t="inlineStr"/>
      <c r="E145" s="3" t="n">
        <v>9</v>
      </c>
      <c r="F145" s="2" t="inlineStr">
        <is>
          <t>SOLAR COOL 5mm</t>
        </is>
      </c>
      <c r="G145" s="3" t="n">
        <v>15750</v>
      </c>
      <c r="H145" s="2" t="inlineStr">
        <is>
          <t>SOLAR COOL 5mm</t>
        </is>
      </c>
      <c r="I145" s="3" t="n">
        <v>15750</v>
      </c>
    </row>
    <row r="146">
      <c r="A146" s="2" t="inlineStr">
        <is>
          <t>Hoja12</t>
        </is>
      </c>
      <c r="B146" s="2" t="inlineStr">
        <is>
          <t>PRESUPUESTOS LINEA 7000</t>
        </is>
      </c>
      <c r="C146" s="3" t="n">
        <v>26</v>
      </c>
      <c r="D146" s="2" t="inlineStr"/>
      <c r="E146" s="3" t="n">
        <v>10</v>
      </c>
      <c r="F146" s="2" t="inlineStr">
        <is>
          <t>NO HAY</t>
        </is>
      </c>
      <c r="G146" s="2" t="inlineStr"/>
      <c r="H146" s="2" t="inlineStr">
        <is>
          <t>NO HAY</t>
        </is>
      </c>
      <c r="I146" s="2" t="inlineStr"/>
    </row>
    <row r="147">
      <c r="A147" s="2" t="inlineStr">
        <is>
          <t>Hoja13</t>
        </is>
      </c>
      <c r="B147" s="2" t="inlineStr">
        <is>
          <t>PRESUPUESTO VENTANA DE ABATIR</t>
        </is>
      </c>
      <c r="C147" s="3" t="n">
        <v>8</v>
      </c>
      <c r="D147" s="2" t="inlineStr"/>
      <c r="E147" s="2" t="inlineStr"/>
      <c r="F147" s="2" t="inlineStr">
        <is>
          <t>INCOLOR</t>
        </is>
      </c>
      <c r="G147" s="2" t="inlineStr">
        <is>
          <t>CAFE</t>
        </is>
      </c>
      <c r="H147" s="2" t="inlineStr">
        <is>
          <t>INCOLOR</t>
        </is>
      </c>
      <c r="I147" s="2" t="inlineStr">
        <is>
          <t>CAFE</t>
        </is>
      </c>
    </row>
    <row r="148">
      <c r="A148" s="2" t="inlineStr">
        <is>
          <t>Hoja13</t>
        </is>
      </c>
      <c r="B148" s="2" t="inlineStr">
        <is>
          <t>PRESUPUESTO VENTANA DE ABATIR</t>
        </is>
      </c>
      <c r="C148" s="3" t="n">
        <v>10</v>
      </c>
      <c r="D148" s="2" t="inlineStr"/>
      <c r="E148" s="2" t="inlineStr">
        <is>
          <t>BURLETE</t>
        </is>
      </c>
      <c r="F148" s="3" t="n">
        <v>170</v>
      </c>
      <c r="G148" s="3" t="n">
        <v>170</v>
      </c>
      <c r="H148" s="3" t="n">
        <v>170</v>
      </c>
      <c r="I148" s="3" t="n">
        <v>170</v>
      </c>
    </row>
    <row r="149">
      <c r="A149" s="2" t="inlineStr">
        <is>
          <t>Hoja13</t>
        </is>
      </c>
      <c r="B149" s="2" t="inlineStr">
        <is>
          <t>PRESUPUESTO VENTANA DE ABATIR</t>
        </is>
      </c>
      <c r="C149" s="3" t="n">
        <v>11</v>
      </c>
      <c r="D149" s="2" t="inlineStr"/>
      <c r="E149" s="2" t="inlineStr">
        <is>
          <t>FELPA</t>
        </is>
      </c>
      <c r="F149" s="3" t="n">
        <v>110</v>
      </c>
      <c r="G149" s="3" t="n">
        <v>110</v>
      </c>
      <c r="H149" s="3" t="n">
        <v>110</v>
      </c>
      <c r="I149" s="3" t="n">
        <v>110</v>
      </c>
    </row>
    <row r="150">
      <c r="A150" s="2" t="inlineStr">
        <is>
          <t>Hoja13</t>
        </is>
      </c>
      <c r="B150" s="2" t="inlineStr">
        <is>
          <t>PRESUPUESTO VENTANA DE ABATIR</t>
        </is>
      </c>
      <c r="C150" s="3" t="n">
        <v>12</v>
      </c>
      <c r="D150" s="2" t="inlineStr"/>
      <c r="E150" s="2" t="inlineStr">
        <is>
          <t>PESTILLO</t>
        </is>
      </c>
      <c r="F150" s="3" t="n">
        <v>650</v>
      </c>
      <c r="G150" s="3" t="n">
        <v>850</v>
      </c>
      <c r="H150" s="3" t="n">
        <v>650</v>
      </c>
      <c r="I150" s="3" t="n">
        <v>850</v>
      </c>
    </row>
    <row r="151">
      <c r="A151" s="2" t="inlineStr">
        <is>
          <t>Hoja13</t>
        </is>
      </c>
      <c r="B151" s="2" t="inlineStr">
        <is>
          <t>PRESUPUESTO VENTANA DE ABATIR</t>
        </is>
      </c>
      <c r="C151" s="3" t="n">
        <v>13</v>
      </c>
      <c r="D151" s="2" t="inlineStr"/>
      <c r="E151" s="2" t="inlineStr">
        <is>
          <t>BISAGRAS</t>
        </is>
      </c>
      <c r="F151" s="3" t="n">
        <v>630</v>
      </c>
      <c r="G151" s="3" t="n">
        <v>830</v>
      </c>
      <c r="H151" s="3" t="n">
        <v>630</v>
      </c>
      <c r="I151" s="3" t="n">
        <v>830</v>
      </c>
    </row>
    <row r="152">
      <c r="A152" s="2" t="inlineStr">
        <is>
          <t>Hoja13</t>
        </is>
      </c>
      <c r="B152" s="2" t="inlineStr">
        <is>
          <t>PRESUPUESTO VENTANA DE ABATIR</t>
        </is>
      </c>
      <c r="C152" s="3" t="n">
        <v>14</v>
      </c>
      <c r="D152" s="2" t="inlineStr"/>
      <c r="E152" s="2" t="inlineStr">
        <is>
          <t>BRAZO EXT</t>
        </is>
      </c>
      <c r="F152" s="3" t="n">
        <v>4000</v>
      </c>
      <c r="G152" s="3" t="n">
        <v>4000</v>
      </c>
      <c r="H152" s="3" t="n">
        <v>4000</v>
      </c>
      <c r="I152" s="3" t="n">
        <v>4000</v>
      </c>
    </row>
    <row r="153">
      <c r="A153" s="2" t="inlineStr">
        <is>
          <t>Hoja13</t>
        </is>
      </c>
      <c r="B153" s="2" t="inlineStr">
        <is>
          <t>PRESUPUESTO VENTANA DE ABATIR</t>
        </is>
      </c>
      <c r="C153" s="3" t="n">
        <v>15</v>
      </c>
      <c r="D153" s="2" t="inlineStr"/>
      <c r="E153" s="2" t="inlineStr">
        <is>
          <t>VIDRIO</t>
        </is>
      </c>
      <c r="F153" s="2" t="inlineStr"/>
      <c r="G153" s="2" t="inlineStr"/>
      <c r="H153" s="2" t="inlineStr"/>
      <c r="I153" s="2" t="inlineStr"/>
    </row>
    <row r="154">
      <c r="A154" s="2" t="inlineStr">
        <is>
          <t>Hoja13</t>
        </is>
      </c>
      <c r="B154" s="2" t="inlineStr">
        <is>
          <t>PRESUPUESTO VENTANA DE ABATIR</t>
        </is>
      </c>
      <c r="C154" s="3" t="n">
        <v>17</v>
      </c>
      <c r="D154" s="2" t="inlineStr"/>
      <c r="E154" s="3" t="n">
        <v>1</v>
      </c>
      <c r="F154" s="2" t="inlineStr">
        <is>
          <t>DOBLE</t>
        </is>
      </c>
      <c r="G154" s="3" t="n">
        <v>15900</v>
      </c>
      <c r="H154" s="2" t="inlineStr">
        <is>
          <t>DOBLE</t>
        </is>
      </c>
      <c r="I154" s="3" t="n">
        <v>15900</v>
      </c>
    </row>
    <row r="155">
      <c r="A155" s="2" t="inlineStr">
        <is>
          <t>Hoja13</t>
        </is>
      </c>
      <c r="B155" s="2" t="inlineStr">
        <is>
          <t>PRESUPUESTO VENTANA DE ABATIR</t>
        </is>
      </c>
      <c r="C155" s="3" t="n">
        <v>18</v>
      </c>
      <c r="D155" s="2" t="inlineStr"/>
      <c r="E155" s="3" t="n">
        <v>2</v>
      </c>
      <c r="F155" s="2" t="inlineStr">
        <is>
          <t>TRIPLE</t>
        </is>
      </c>
      <c r="G155" s="3" t="n">
        <v>21200</v>
      </c>
      <c r="H155" s="2" t="inlineStr">
        <is>
          <t>TRIPLE</t>
        </is>
      </c>
      <c r="I155" s="3" t="n">
        <v>21200</v>
      </c>
    </row>
    <row r="156">
      <c r="A156" s="2" t="inlineStr">
        <is>
          <t>Hoja13</t>
        </is>
      </c>
      <c r="B156" s="2" t="inlineStr">
        <is>
          <t>PRESUPUESTO VENTANA DE ABATIR</t>
        </is>
      </c>
      <c r="C156" s="3" t="n">
        <v>19</v>
      </c>
      <c r="D156" s="2" t="inlineStr"/>
      <c r="E156" s="3" t="n">
        <v>3</v>
      </c>
      <c r="F156" s="2" t="inlineStr">
        <is>
          <t>VITREA</t>
        </is>
      </c>
      <c r="G156" s="3" t="n">
        <v>26500</v>
      </c>
      <c r="H156" s="2" t="inlineStr">
        <is>
          <t>VITREA</t>
        </is>
      </c>
      <c r="I156" s="3" t="n">
        <v>26500</v>
      </c>
    </row>
    <row r="157">
      <c r="A157" s="2" t="inlineStr">
        <is>
          <t>Hoja13</t>
        </is>
      </c>
      <c r="B157" s="2" t="inlineStr">
        <is>
          <t>PRESUPUESTO VENTANA DE ABATIR</t>
        </is>
      </c>
      <c r="C157" s="3" t="n">
        <v>20</v>
      </c>
      <c r="D157" s="2" t="inlineStr"/>
      <c r="E157" s="3" t="n">
        <v>4</v>
      </c>
      <c r="F157" s="2" t="inlineStr">
        <is>
          <t>CATEDRAL</t>
        </is>
      </c>
      <c r="G157" s="3" t="n">
        <v>18900</v>
      </c>
      <c r="H157" s="2" t="inlineStr">
        <is>
          <t>CATEDRAL</t>
        </is>
      </c>
      <c r="I157" s="3" t="n">
        <v>18900</v>
      </c>
    </row>
    <row r="158">
      <c r="A158" s="2" t="inlineStr">
        <is>
          <t>Hoja13</t>
        </is>
      </c>
      <c r="B158" s="2" t="inlineStr">
        <is>
          <t>PRESUPUESTO VENTANA DE ABATIR</t>
        </is>
      </c>
      <c r="C158" s="3" t="n">
        <v>21</v>
      </c>
      <c r="D158" s="2" t="inlineStr"/>
      <c r="E158" s="3" t="n">
        <v>5</v>
      </c>
      <c r="F158" s="2" t="inlineStr">
        <is>
          <t>CAT.COLOR</t>
        </is>
      </c>
      <c r="G158" s="3" t="n">
        <v>23330</v>
      </c>
      <c r="H158" s="2" t="inlineStr">
        <is>
          <t>CAT.COLOR</t>
        </is>
      </c>
      <c r="I158" s="3" t="n">
        <v>23330</v>
      </c>
    </row>
    <row r="159">
      <c r="A159" s="2" t="inlineStr">
        <is>
          <t>Hoja13</t>
        </is>
      </c>
      <c r="B159" s="2" t="inlineStr">
        <is>
          <t>PRESUPUESTO VENTANA DE ABATIR</t>
        </is>
      </c>
      <c r="C159" s="3" t="n">
        <v>22</v>
      </c>
      <c r="D159" s="2" t="inlineStr"/>
      <c r="E159" s="3" t="n">
        <v>6</v>
      </c>
      <c r="F159" s="2" t="inlineStr">
        <is>
          <t>BR/GR 4mm</t>
        </is>
      </c>
      <c r="G159" s="3" t="n">
        <v>23320</v>
      </c>
      <c r="H159" s="2" t="inlineStr">
        <is>
          <t>BR/GR 4mm</t>
        </is>
      </c>
      <c r="I159" s="3" t="n">
        <v>23320</v>
      </c>
    </row>
    <row r="160">
      <c r="A160" s="2" t="inlineStr">
        <is>
          <t>Hoja13</t>
        </is>
      </c>
      <c r="B160" s="2" t="inlineStr">
        <is>
          <t>PRESUPUESTO VENTANA DE ABATIR</t>
        </is>
      </c>
      <c r="C160" s="3" t="n">
        <v>23</v>
      </c>
      <c r="D160" s="2" t="inlineStr"/>
      <c r="E160" s="3" t="n">
        <v>7</v>
      </c>
      <c r="F160" s="2" t="inlineStr">
        <is>
          <t>BR/GR 5mm</t>
        </is>
      </c>
      <c r="G160" s="3" t="n">
        <v>29150</v>
      </c>
      <c r="H160" s="2" t="inlineStr">
        <is>
          <t>BR/GR 5mm</t>
        </is>
      </c>
      <c r="I160" s="3" t="n">
        <v>29150</v>
      </c>
    </row>
    <row r="161">
      <c r="A161" s="2" t="inlineStr">
        <is>
          <t>Hoja13</t>
        </is>
      </c>
      <c r="B161" s="2" t="inlineStr">
        <is>
          <t>PRESUPUESTO VENTANA DE ABATIR</t>
        </is>
      </c>
      <c r="C161" s="3" t="n">
        <v>24</v>
      </c>
      <c r="D161" s="2" t="inlineStr"/>
      <c r="E161" s="3" t="n">
        <v>8</v>
      </c>
      <c r="F161" s="2" t="inlineStr"/>
      <c r="G161" s="2" t="inlineStr"/>
      <c r="H161" s="2" t="inlineStr"/>
      <c r="I16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100" customWidth="1" min="4" max="4"/>
  </cols>
  <sheetData>
    <row r="1">
      <c r="A1" s="1" t="inlineStr">
        <is>
          <t>Hoja</t>
        </is>
      </c>
      <c r="B1" s="1" t="inlineStr">
        <is>
          <t>Producto</t>
        </is>
      </c>
      <c r="C1" s="1" t="inlineStr">
        <is>
          <t>Fila</t>
        </is>
      </c>
      <c r="D1" s="1" t="inlineStr">
        <is>
          <t>Celdas de entrada y descripción</t>
        </is>
      </c>
    </row>
    <row r="2">
      <c r="A2" s="2" t="inlineStr">
        <is>
          <t>Hoja2</t>
        </is>
      </c>
      <c r="B2" s="2" t="inlineStr">
        <is>
          <t>PRESUPUESTO SHOWER DOOR LINEA AM-12 ALUMCO</t>
        </is>
      </c>
      <c r="C2" s="3" t="n">
        <v>34</v>
      </c>
      <c r="D2" s="2" t="inlineStr">
        <is>
          <t>B34=PRESUPUESTO SHOWER DOOR LINEA AM-12 ALUMCO</t>
        </is>
      </c>
    </row>
    <row r="3">
      <c r="A3" s="2" t="inlineStr">
        <is>
          <t>Hoja2</t>
        </is>
      </c>
      <c r="B3" s="2" t="inlineStr">
        <is>
          <t>PRESUPUESTO SHOWER DOOR LINEA AM-12 ALUMCO</t>
        </is>
      </c>
      <c r="C3" s="3" t="n">
        <v>35</v>
      </c>
      <c r="D3" s="2" t="inlineStr">
        <is>
          <t>B35== | C35== | D35== | E35== | F35=======</t>
        </is>
      </c>
    </row>
    <row r="4">
      <c r="A4" s="2" t="inlineStr">
        <is>
          <t>Hoja2</t>
        </is>
      </c>
      <c r="B4" s="2" t="inlineStr">
        <is>
          <t>PRESUPUESTO SHOWER DOOR LINEA AM-12 ALUMCO</t>
        </is>
      </c>
      <c r="C4" s="3" t="n">
        <v>36</v>
      </c>
      <c r="D4" s="2" t="inlineStr">
        <is>
          <t>A36=FECHA: | B36=IQUIQUE, | C36=DICIEMBRE 24 DE 1996</t>
        </is>
      </c>
    </row>
    <row r="5">
      <c r="A5" s="2" t="inlineStr">
        <is>
          <t>Hoja2</t>
        </is>
      </c>
      <c r="B5" s="2" t="inlineStr">
        <is>
          <t>PRESUPUESTO SHOWER DOOR LINEA AM-12 ALUMCO</t>
        </is>
      </c>
      <c r="C5" s="3" t="n">
        <v>37</v>
      </c>
      <c r="D5" s="2" t="inlineStr">
        <is>
          <t>A37=CLIENTE:</t>
        </is>
      </c>
    </row>
    <row r="6">
      <c r="A6" s="2" t="inlineStr">
        <is>
          <t>Hoja2</t>
        </is>
      </c>
      <c r="B6" s="2" t="inlineStr">
        <is>
          <t>PRESUPUESTO SHOWER DOOR LINEA AM-12 ALUMCO</t>
        </is>
      </c>
      <c r="C6" s="3" t="n">
        <v>38</v>
      </c>
      <c r="D6" s="2" t="inlineStr">
        <is>
          <t>A38=DIREC:</t>
        </is>
      </c>
    </row>
    <row r="7">
      <c r="A7" s="2" t="inlineStr">
        <is>
          <t>Hoja2</t>
        </is>
      </c>
      <c r="B7" s="2" t="inlineStr">
        <is>
          <t>PRESUPUESTO SHOWER DOOR LINEA AM-12 ALUMCO</t>
        </is>
      </c>
      <c r="C7" s="3" t="n">
        <v>39</v>
      </c>
      <c r="D7" s="2" t="inlineStr">
        <is>
          <t>A39=FONO:</t>
        </is>
      </c>
    </row>
    <row r="8">
      <c r="A8" s="2" t="inlineStr">
        <is>
          <t>Hoja2</t>
        </is>
      </c>
      <c r="B8" s="2" t="inlineStr">
        <is>
          <t>PRESUPUESTO SHOWER DOOR LINEA AM-12 ALUMCO</t>
        </is>
      </c>
      <c r="C8" s="3" t="n">
        <v>40</v>
      </c>
      <c r="D8" s="2" t="inlineStr">
        <is>
          <t>A40=DESCRIP: | B40=SH.DOOR | C40=AL.HORIZ: | D40=1.5 | E40=AL.VERT: | F40=1.6</t>
        </is>
      </c>
    </row>
    <row r="9">
      <c r="A9" s="2" t="inlineStr">
        <is>
          <t>Hoja2</t>
        </is>
      </c>
      <c r="B9" s="2" t="inlineStr">
        <is>
          <t>PRESUPUESTO SHOWER DOOR LINEA AM-12 ALUMCO</t>
        </is>
      </c>
      <c r="C9" s="3" t="n">
        <v>41</v>
      </c>
      <c r="D9" s="2" t="inlineStr">
        <is>
          <t>B41=2 | C41=HOJAS | D41=CORREDERA | E41=H.F: | F41=ANCHO: | G41=0</t>
        </is>
      </c>
    </row>
    <row r="10">
      <c r="A10" s="2" t="inlineStr">
        <is>
          <t>Hoja2</t>
        </is>
      </c>
      <c r="B10" s="2" t="inlineStr">
        <is>
          <t>PRESUPUESTO SHOWER DOOR LINEA AM-12 ALUMCO</t>
        </is>
      </c>
      <c r="C10" s="3" t="n">
        <v>42</v>
      </c>
      <c r="D10" s="2" t="inlineStr">
        <is>
          <t>C42=INGRESE | D42=ALUMINIO | G42=ALUMINIO</t>
        </is>
      </c>
    </row>
    <row r="11">
      <c r="A11" s="2" t="inlineStr">
        <is>
          <t>Hoja2</t>
        </is>
      </c>
      <c r="B11" s="2" t="inlineStr">
        <is>
          <t>PRESUPUESTO SHOWER DOOR LINEA AM-12 ALUMCO</t>
        </is>
      </c>
      <c r="C11" s="3" t="n">
        <v>43</v>
      </c>
      <c r="D11" s="2" t="inlineStr">
        <is>
          <t>C43=DATOS | D43=NATURAL | G43=CAFE</t>
        </is>
      </c>
    </row>
    <row r="12">
      <c r="A12" s="2" t="inlineStr">
        <is>
          <t>Hoja2</t>
        </is>
      </c>
      <c r="B12" s="2" t="inlineStr">
        <is>
          <t>PRESUPUESTO SHOWER DOOR LINEA AM-12 ALUMCO</t>
        </is>
      </c>
      <c r="C12" s="3" t="n">
        <v>45</v>
      </c>
      <c r="D12" s="2" t="inlineStr">
        <is>
          <t>A45=TRABAJO: | B45=SH.DOOR | C45=2 | D45=HOJAS | F45==C45 | G45=HOJAS</t>
        </is>
      </c>
    </row>
    <row r="13">
      <c r="A13" s="2" t="inlineStr">
        <is>
          <t>Hoja3</t>
        </is>
      </c>
      <c r="B13" s="2" t="inlineStr">
        <is>
          <t>PRESUPUESTO VENTANA CON BRAZO EXT.</t>
        </is>
      </c>
      <c r="C13" s="3" t="n">
        <v>34</v>
      </c>
      <c r="D13" s="2" t="inlineStr">
        <is>
          <t>A34=DESCRIP. | B34=VENT.ABATIR COMPL. | D34=1 | E34=VIDRIO: | F34=CATEDRAL</t>
        </is>
      </c>
    </row>
    <row r="14">
      <c r="A14" s="2" t="inlineStr">
        <is>
          <t>Hoja3</t>
        </is>
      </c>
      <c r="B14" s="2" t="inlineStr">
        <is>
          <t>PRESUPUESTO VENTANA CON BRAZO EXT.</t>
        </is>
      </c>
      <c r="C14" s="3" t="n">
        <v>35</v>
      </c>
      <c r="D14" s="2" t="inlineStr">
        <is>
          <t>B35=ALTO: | C35=1.3 | D35=ANCHO: | E35=0.95</t>
        </is>
      </c>
    </row>
    <row r="15">
      <c r="A15" s="2" t="inlineStr">
        <is>
          <t>Hoja3</t>
        </is>
      </c>
      <c r="B15" s="2" t="inlineStr">
        <is>
          <t>PRESUPUESTO VENTANA CON BRAZO EXT.</t>
        </is>
      </c>
      <c r="C15" s="3" t="n">
        <v>36</v>
      </c>
      <c r="D15" s="2" t="inlineStr">
        <is>
          <t>C36=INGRESE | D36=ALUMINIO | F36=ALUMINIO</t>
        </is>
      </c>
    </row>
    <row r="16">
      <c r="A16" s="2" t="inlineStr">
        <is>
          <t>Hoja3</t>
        </is>
      </c>
      <c r="B16" s="2" t="inlineStr">
        <is>
          <t>PRESUPUESTO VENTANA CON BRAZO EXT.</t>
        </is>
      </c>
      <c r="C16" s="3" t="n">
        <v>37</v>
      </c>
      <c r="D16" s="2" t="inlineStr">
        <is>
          <t>C37=DATOS | D37=NATURAL | F37=CAFE</t>
        </is>
      </c>
    </row>
    <row r="17">
      <c r="A17" s="2" t="inlineStr">
        <is>
          <t>Hoja3</t>
        </is>
      </c>
      <c r="B17" s="2" t="inlineStr">
        <is>
          <t>PRESUPUESTO VENTANA CON BRAZO EXT.</t>
        </is>
      </c>
      <c r="C17" s="3" t="n">
        <v>38</v>
      </c>
      <c r="D17" s="2" t="inlineStr">
        <is>
          <t>A38=TRABAJO:</t>
        </is>
      </c>
    </row>
    <row r="18">
      <c r="A18" s="2" t="inlineStr">
        <is>
          <t>Hoja3</t>
        </is>
      </c>
      <c r="B18" s="2" t="inlineStr">
        <is>
          <t>PRESUPUESTO VENTANA CON BRAZO EXT.</t>
        </is>
      </c>
      <c r="C18" s="3" t="n">
        <v>39</v>
      </c>
      <c r="D18" s="2" t="inlineStr">
        <is>
          <t>A39==VLOOKUP(C39,$A$22:$D$23,2) | C39=2</t>
        </is>
      </c>
    </row>
    <row r="19">
      <c r="A19" s="2" t="inlineStr">
        <is>
          <t>Hoja3</t>
        </is>
      </c>
      <c r="B19" s="2" t="inlineStr">
        <is>
          <t>PRESUPUESTO VENTANA CON BRAZO EXT.</t>
        </is>
      </c>
      <c r="C19" s="3" t="n">
        <v>41</v>
      </c>
      <c r="D19" s="2" t="inlineStr">
        <is>
          <t>A41=ALTO: | B41=3201 | C41=1.89 | D41==((C41*2)+(C42*2))*C10/6 | F41==((C41*2)+(C42*2))*D10/6</t>
        </is>
      </c>
    </row>
    <row r="20">
      <c r="A20" s="2" t="inlineStr">
        <is>
          <t>Hoja3</t>
        </is>
      </c>
      <c r="B20" s="2" t="inlineStr">
        <is>
          <t>PRESUPUESTO VENTANA CON BRAZO EXT.</t>
        </is>
      </c>
      <c r="C20" s="3" t="n">
        <v>42</v>
      </c>
      <c r="D20" s="2" t="inlineStr">
        <is>
          <t>A42=ANCHO: | B42=3202 | C42=0.25 | D42==(((C41*2)+(C42*2))*C11/6)+(((C41*2)+(C42*2))*C12/6) | F42==(((C41*2)+(C42*2))*D11/6)+(((C41*2)+(C42*2))*D12/6)</t>
        </is>
      </c>
    </row>
    <row r="21">
      <c r="A21" s="2" t="inlineStr">
        <is>
          <t>Hoja3</t>
        </is>
      </c>
      <c r="B21" s="2" t="inlineStr">
        <is>
          <t>PRESUPUESTO VENTANA CON BRAZO EXT.</t>
        </is>
      </c>
      <c r="C21" s="3" t="n">
        <v>43</v>
      </c>
      <c r="D21" s="2" t="inlineStr">
        <is>
          <t>A43=VIDRIO: | C43=8 | D43==(C41*C42)*VLOOKUP(C43,F17:H25,3) | F43==(C41*C42)*VLOOKUP(C43,F17:H25,3)</t>
        </is>
      </c>
    </row>
    <row r="22">
      <c r="A22" s="2" t="inlineStr">
        <is>
          <t>Hoja3</t>
        </is>
      </c>
      <c r="B22" s="2" t="inlineStr">
        <is>
          <t>PRESUPUESTO VENTANA CON BRAZO EXT.</t>
        </is>
      </c>
      <c r="C22" s="3" t="n">
        <v>44</v>
      </c>
      <c r="D22" s="2" t="inlineStr">
        <is>
          <t>A44=FELPA: | D44==((C41*2)+(C42*2))*(1+0.1)*G10 | F44==((C41*2)+(C42*2))*(1+0.1)*H10</t>
        </is>
      </c>
    </row>
    <row r="23">
      <c r="A23" s="2" t="inlineStr">
        <is>
          <t>Hoja3</t>
        </is>
      </c>
      <c r="B23" s="2" t="inlineStr">
        <is>
          <t>PRESUPUESTO VENTANA CON BRAZO EXT.</t>
        </is>
      </c>
      <c r="C23" s="3" t="n">
        <v>45</v>
      </c>
      <c r="D23" s="2" t="inlineStr">
        <is>
          <t>A45=MANILLA | B45=CANT: | C45=1 | D45==C45*G11 | F45==C45*H11</t>
        </is>
      </c>
    </row>
    <row r="24">
      <c r="A24" s="2" t="inlineStr">
        <is>
          <t>Hoja4</t>
        </is>
      </c>
      <c r="B24" s="2" t="inlineStr">
        <is>
          <t>PRESUPUESTO CENTROS DE PUERTA</t>
        </is>
      </c>
      <c r="C24" s="3" t="n">
        <v>34</v>
      </c>
      <c r="D24" s="2" t="inlineStr">
        <is>
          <t>C34=PRESUPUESTO CENTROS DE PUERTA</t>
        </is>
      </c>
    </row>
    <row r="25">
      <c r="A25" s="2" t="inlineStr">
        <is>
          <t>Hoja4</t>
        </is>
      </c>
      <c r="B25" s="2" t="inlineStr">
        <is>
          <t>PRESUPUESTO CENTROS DE PUERTA</t>
        </is>
      </c>
      <c r="C25" s="3" t="n">
        <v>35</v>
      </c>
      <c r="D25" s="2" t="inlineStr">
        <is>
          <t>C35== | D35== | E35== | F35===</t>
        </is>
      </c>
    </row>
    <row r="26">
      <c r="A26" s="2" t="inlineStr">
        <is>
          <t>Hoja4</t>
        </is>
      </c>
      <c r="B26" s="2" t="inlineStr">
        <is>
          <t>PRESUPUESTO CENTROS DE PUERTA</t>
        </is>
      </c>
      <c r="C26" s="3" t="n">
        <v>36</v>
      </c>
      <c r="D26" s="2" t="inlineStr">
        <is>
          <t>A36=FECHA: | B36=IQUIQUE, | C36=DICIEMBRE 24 DE 1996</t>
        </is>
      </c>
    </row>
    <row r="27">
      <c r="A27" s="2" t="inlineStr">
        <is>
          <t>Hoja4</t>
        </is>
      </c>
      <c r="B27" s="2" t="inlineStr">
        <is>
          <t>PRESUPUESTO CENTROS DE PUERTA</t>
        </is>
      </c>
      <c r="C27" s="3" t="n">
        <v>37</v>
      </c>
      <c r="D27" s="2" t="inlineStr">
        <is>
          <t>A37=CLIENTE:</t>
        </is>
      </c>
    </row>
    <row r="28">
      <c r="A28" s="2" t="inlineStr">
        <is>
          <t>Hoja4</t>
        </is>
      </c>
      <c r="B28" s="2" t="inlineStr">
        <is>
          <t>PRESUPUESTO CENTROS DE PUERTA</t>
        </is>
      </c>
      <c r="C28" s="3" t="n">
        <v>38</v>
      </c>
      <c r="D28" s="2" t="inlineStr">
        <is>
          <t>A38=DIREC:</t>
        </is>
      </c>
    </row>
    <row r="29">
      <c r="A29" s="2" t="inlineStr">
        <is>
          <t>Hoja4</t>
        </is>
      </c>
      <c r="B29" s="2" t="inlineStr">
        <is>
          <t>PRESUPUESTO CENTROS DE PUERTA</t>
        </is>
      </c>
      <c r="C29" s="3" t="n">
        <v>39</v>
      </c>
      <c r="D29" s="2" t="inlineStr">
        <is>
          <t>A39=FONO:</t>
        </is>
      </c>
    </row>
    <row r="30">
      <c r="A30" s="2" t="inlineStr">
        <is>
          <t>Hoja4</t>
        </is>
      </c>
      <c r="B30" s="2" t="inlineStr">
        <is>
          <t>PRESUPUESTO CENTROS DE PUERTA</t>
        </is>
      </c>
      <c r="C30" s="3" t="n">
        <v>40</v>
      </c>
      <c r="D30" s="2" t="inlineStr">
        <is>
          <t>A40=DESCRIP: | B40=C.P.7095 | C40=ALTO: | D40=2 | E40=ANCHO: | F40=0.8</t>
        </is>
      </c>
    </row>
    <row r="31">
      <c r="A31" s="2" t="inlineStr">
        <is>
          <t>Hoja4</t>
        </is>
      </c>
      <c r="B31" s="2" t="inlineStr">
        <is>
          <t>PRESUPUESTO CENTROS DE PUERTA</t>
        </is>
      </c>
      <c r="C31" s="3" t="n">
        <v>41</v>
      </c>
      <c r="D31" s="2" t="inlineStr">
        <is>
          <t>B41=C.P.5034 | C41=ALTO: | D41=0 | E41=ANCHO: | F41=0</t>
        </is>
      </c>
    </row>
    <row r="32">
      <c r="A32" s="2" t="inlineStr">
        <is>
          <t>Hoja4</t>
        </is>
      </c>
      <c r="B32" s="2" t="inlineStr">
        <is>
          <t>PRESUPUESTO CENTROS DE PUERTA</t>
        </is>
      </c>
      <c r="C32" s="3" t="n">
        <v>42</v>
      </c>
      <c r="D32" s="2" t="inlineStr">
        <is>
          <t>C42=FIJO 7095 | D42=0 | E42=FIJO 5034 | F42=0</t>
        </is>
      </c>
    </row>
    <row r="33">
      <c r="A33" s="2" t="inlineStr">
        <is>
          <t>Hoja4</t>
        </is>
      </c>
      <c r="B33" s="2" t="inlineStr">
        <is>
          <t>PRESUPUESTO CENTROS DE PUERTA</t>
        </is>
      </c>
      <c r="C33" s="3" t="n">
        <v>43</v>
      </c>
      <c r="D33" s="2" t="inlineStr">
        <is>
          <t>C43=INGRESE | D43=ALUMINIO | G43=ALUMINIO</t>
        </is>
      </c>
    </row>
    <row r="34">
      <c r="A34" s="2" t="inlineStr">
        <is>
          <t>Hoja4</t>
        </is>
      </c>
      <c r="B34" s="2" t="inlineStr">
        <is>
          <t>PRESUPUESTO CENTROS DE PUERTA</t>
        </is>
      </c>
      <c r="C34" s="3" t="n">
        <v>44</v>
      </c>
      <c r="D34" s="2" t="inlineStr">
        <is>
          <t>C44=DATOS | D44=NATURAL | G44=CAFE</t>
        </is>
      </c>
    </row>
    <row r="35">
      <c r="A35" s="2" t="inlineStr">
        <is>
          <t>Hoja5</t>
        </is>
      </c>
      <c r="B35" s="2" t="inlineStr">
        <is>
          <t>PRESUPUESTO CENTROS DE PUERTA</t>
        </is>
      </c>
      <c r="C35" s="3" t="n">
        <v>34</v>
      </c>
      <c r="D35" s="2" t="inlineStr">
        <is>
          <t>C34=PRESUPUESTO CENTROS DE PUERTA</t>
        </is>
      </c>
    </row>
    <row r="36">
      <c r="A36" s="2" t="inlineStr">
        <is>
          <t>Hoja5</t>
        </is>
      </c>
      <c r="B36" s="2" t="inlineStr">
        <is>
          <t>PRESUPUESTO CENTROS DE PUERTA</t>
        </is>
      </c>
      <c r="C36" s="3" t="n">
        <v>35</v>
      </c>
      <c r="D36" s="2" t="inlineStr">
        <is>
          <t>C35== | D35== | E35== | F35===</t>
        </is>
      </c>
    </row>
    <row r="37">
      <c r="A37" s="2" t="inlineStr">
        <is>
          <t>Hoja5</t>
        </is>
      </c>
      <c r="B37" s="2" t="inlineStr">
        <is>
          <t>PRESUPUESTO CENTROS DE PUERTA</t>
        </is>
      </c>
      <c r="C37" s="3" t="n">
        <v>36</v>
      </c>
      <c r="D37" s="2" t="inlineStr">
        <is>
          <t>A36=FECHA: | B36=IQUIQUE, | C36=DICIEMBRE 24 DE 1996</t>
        </is>
      </c>
    </row>
    <row r="38">
      <c r="A38" s="2" t="inlineStr">
        <is>
          <t>Hoja5</t>
        </is>
      </c>
      <c r="B38" s="2" t="inlineStr">
        <is>
          <t>PRESUPUESTO CENTROS DE PUERTA</t>
        </is>
      </c>
      <c r="C38" s="3" t="n">
        <v>37</v>
      </c>
      <c r="D38" s="2" t="inlineStr">
        <is>
          <t>A37=CLIENTE:</t>
        </is>
      </c>
    </row>
    <row r="39">
      <c r="A39" s="2" t="inlineStr">
        <is>
          <t>Hoja5</t>
        </is>
      </c>
      <c r="B39" s="2" t="inlineStr">
        <is>
          <t>PRESUPUESTO CENTROS DE PUERTA</t>
        </is>
      </c>
      <c r="C39" s="3" t="n">
        <v>38</v>
      </c>
      <c r="D39" s="2" t="inlineStr">
        <is>
          <t>A38=DIREC:</t>
        </is>
      </c>
    </row>
    <row r="40">
      <c r="A40" s="2" t="inlineStr">
        <is>
          <t>Hoja5</t>
        </is>
      </c>
      <c r="B40" s="2" t="inlineStr">
        <is>
          <t>PRESUPUESTO CENTROS DE PUERTA</t>
        </is>
      </c>
      <c r="C40" s="3" t="n">
        <v>39</v>
      </c>
      <c r="D40" s="2" t="inlineStr">
        <is>
          <t>A39=FONO:</t>
        </is>
      </c>
    </row>
    <row r="41">
      <c r="A41" s="2" t="inlineStr">
        <is>
          <t>Hoja5</t>
        </is>
      </c>
      <c r="B41" s="2" t="inlineStr">
        <is>
          <t>PRESUPUESTO CENTROS DE PUERTA</t>
        </is>
      </c>
      <c r="C41" s="3" t="n">
        <v>40</v>
      </c>
      <c r="D41" s="2" t="inlineStr">
        <is>
          <t>A40=DESCRIP: | B40=C.P.30x60 | C40=ALTO: | D40=2.5 | E40=ANCHO: | F40=1</t>
        </is>
      </c>
    </row>
    <row r="42">
      <c r="A42" s="2" t="inlineStr">
        <is>
          <t>Hoja5</t>
        </is>
      </c>
      <c r="B42" s="2" t="inlineStr">
        <is>
          <t>PRESUPUESTO CENTROS DE PUERTA</t>
        </is>
      </c>
      <c r="C42" s="3" t="n">
        <v>41</v>
      </c>
      <c r="D42" s="2" t="inlineStr">
        <is>
          <t>B41=C.P.40x80 | C41=ALTO: | D41=0 | E41=ANCHO: | F41=0</t>
        </is>
      </c>
    </row>
    <row r="43">
      <c r="A43" s="2" t="inlineStr">
        <is>
          <t>Hoja5</t>
        </is>
      </c>
      <c r="B43" s="2" t="inlineStr">
        <is>
          <t>PRESUPUESTO CENTROS DE PUERTA</t>
        </is>
      </c>
      <c r="C43" s="3" t="n">
        <v>42</v>
      </c>
      <c r="D43" s="2" t="inlineStr">
        <is>
          <t>C42=FIJO 30x60 | D42=0.4 | E42=FIJO 40x80 | F42=0</t>
        </is>
      </c>
    </row>
    <row r="44">
      <c r="A44" s="2" t="inlineStr">
        <is>
          <t>Hoja5</t>
        </is>
      </c>
      <c r="B44" s="2" t="inlineStr">
        <is>
          <t>PRESUPUESTO CENTROS DE PUERTA</t>
        </is>
      </c>
      <c r="C44" s="3" t="n">
        <v>43</v>
      </c>
      <c r="D44" s="2" t="inlineStr">
        <is>
          <t>C43=INGRESE | D43=ALUMINIO | G43=ALUMINIO</t>
        </is>
      </c>
    </row>
    <row r="45">
      <c r="A45" s="2" t="inlineStr">
        <is>
          <t>Hoja5</t>
        </is>
      </c>
      <c r="B45" s="2" t="inlineStr">
        <is>
          <t>PRESUPUESTO CENTROS DE PUERTA</t>
        </is>
      </c>
      <c r="C45" s="3" t="n">
        <v>44</v>
      </c>
      <c r="D45" s="2" t="inlineStr">
        <is>
          <t>C44=DATOS | D44=NATURAL | G44=CAFE</t>
        </is>
      </c>
    </row>
    <row r="46">
      <c r="A46" s="2" t="inlineStr">
        <is>
          <t>Hoja6</t>
        </is>
      </c>
      <c r="B46" s="2" t="inlineStr">
        <is>
          <t>PRESUPUESTOS PUERTAS TUBO 40x40 Y 40x100</t>
        </is>
      </c>
      <c r="C46" s="3" t="n">
        <v>34</v>
      </c>
      <c r="D46" s="2" t="inlineStr">
        <is>
          <t>B34=PRESUPUESTO PUERTAS CON TUBO 40x40 Y 40x100</t>
        </is>
      </c>
    </row>
    <row r="47">
      <c r="A47" s="2" t="inlineStr">
        <is>
          <t>Hoja6</t>
        </is>
      </c>
      <c r="B47" s="2" t="inlineStr">
        <is>
          <t>PRESUPUESTOS PUERTAS TUBO 40x40 Y 40x100</t>
        </is>
      </c>
      <c r="C47" s="3" t="n">
        <v>35</v>
      </c>
      <c r="D47" s="2" t="inlineStr">
        <is>
          <t>B35== | C35== | D35== | E35== | F35========</t>
        </is>
      </c>
    </row>
    <row r="48">
      <c r="A48" s="2" t="inlineStr">
        <is>
          <t>Hoja6</t>
        </is>
      </c>
      <c r="B48" s="2" t="inlineStr">
        <is>
          <t>PRESUPUESTOS PUERTAS TUBO 40x40 Y 40x100</t>
        </is>
      </c>
      <c r="C48" s="3" t="n">
        <v>36</v>
      </c>
      <c r="D48" s="2" t="inlineStr">
        <is>
          <t>A36=FECHA: | B36=IQUIQUE, | C36=DICIEMBRE 24 DE 1996</t>
        </is>
      </c>
    </row>
    <row r="49">
      <c r="A49" s="2" t="inlineStr">
        <is>
          <t>Hoja6</t>
        </is>
      </c>
      <c r="B49" s="2" t="inlineStr">
        <is>
          <t>PRESUPUESTOS PUERTAS TUBO 40x40 Y 40x100</t>
        </is>
      </c>
      <c r="C49" s="3" t="n">
        <v>37</v>
      </c>
      <c r="D49" s="2" t="inlineStr">
        <is>
          <t>A37=CLIENTE:</t>
        </is>
      </c>
    </row>
    <row r="50">
      <c r="A50" s="2" t="inlineStr">
        <is>
          <t>Hoja6</t>
        </is>
      </c>
      <c r="B50" s="2" t="inlineStr">
        <is>
          <t>PRESUPUESTOS PUERTAS TUBO 40x40 Y 40x100</t>
        </is>
      </c>
      <c r="C50" s="3" t="n">
        <v>38</v>
      </c>
      <c r="D50" s="2" t="inlineStr">
        <is>
          <t>A38=DIREC.</t>
        </is>
      </c>
    </row>
    <row r="51">
      <c r="A51" s="2" t="inlineStr">
        <is>
          <t>Hoja6</t>
        </is>
      </c>
      <c r="B51" s="2" t="inlineStr">
        <is>
          <t>PRESUPUESTOS PUERTAS TUBO 40x40 Y 40x100</t>
        </is>
      </c>
      <c r="C51" s="3" t="n">
        <v>39</v>
      </c>
      <c r="D51" s="2" t="inlineStr">
        <is>
          <t>A39=FONO:</t>
        </is>
      </c>
    </row>
    <row r="52">
      <c r="A52" s="2" t="inlineStr">
        <is>
          <t>Hoja6</t>
        </is>
      </c>
      <c r="B52" s="2" t="inlineStr">
        <is>
          <t>PRESUPUESTOS PUERTAS TUBO 40x40 Y 40x100</t>
        </is>
      </c>
      <c r="C52" s="3" t="n">
        <v>40</v>
      </c>
      <c r="D52" s="2" t="inlineStr">
        <is>
          <t>A40=DESCRIP: | B40=PUERTA C/BISAGRAS | D40=ALTO: | E40=2 | F40=ANCHO: | G40=1</t>
        </is>
      </c>
    </row>
    <row r="53">
      <c r="A53" s="2" t="inlineStr">
        <is>
          <t>Hoja6</t>
        </is>
      </c>
      <c r="B53" s="2" t="inlineStr">
        <is>
          <t>PRESUPUESTOS PUERTAS TUBO 40x40 Y 40x100</t>
        </is>
      </c>
      <c r="C53" s="3" t="n">
        <v>41</v>
      </c>
      <c r="D53" s="2" t="inlineStr">
        <is>
          <t>B41=PLACA | C41=ALTO: | D41=0 | E41=VIDRIO | F41=VITREA</t>
        </is>
      </c>
    </row>
    <row r="54">
      <c r="A54" s="2" t="inlineStr">
        <is>
          <t>Hoja6</t>
        </is>
      </c>
      <c r="B54" s="2" t="inlineStr">
        <is>
          <t>PRESUPUESTOS PUERTAS TUBO 40x40 Y 40x100</t>
        </is>
      </c>
      <c r="C54" s="3" t="n">
        <v>42</v>
      </c>
      <c r="D54" s="2" t="inlineStr">
        <is>
          <t>B42=MAS/FOR | C42=ALTO: | D42=0</t>
        </is>
      </c>
    </row>
    <row r="55">
      <c r="A55" s="2" t="inlineStr">
        <is>
          <t>Hoja6</t>
        </is>
      </c>
      <c r="B55" s="2" t="inlineStr">
        <is>
          <t>PRESUPUESTOS PUERTAS TUBO 40x40 Y 40x100</t>
        </is>
      </c>
      <c r="C55" s="3" t="n">
        <v>43</v>
      </c>
      <c r="D55" s="2" t="inlineStr">
        <is>
          <t>C43=INGRESE | D43=ALUMINIO | G43=ALUMINIO</t>
        </is>
      </c>
    </row>
    <row r="56">
      <c r="A56" s="2" t="inlineStr">
        <is>
          <t>Hoja6</t>
        </is>
      </c>
      <c r="B56" s="2" t="inlineStr">
        <is>
          <t>PRESUPUESTOS PUERTAS TUBO 40x40 Y 40x100</t>
        </is>
      </c>
      <c r="C56" s="3" t="n">
        <v>44</v>
      </c>
      <c r="D56" s="2" t="inlineStr">
        <is>
          <t>C44=DATOS | D44=NATURAL | G44=CAFE</t>
        </is>
      </c>
    </row>
    <row r="57">
      <c r="A57" s="2" t="inlineStr">
        <is>
          <t>Hoja7</t>
        </is>
      </c>
      <c r="B57" s="2" t="inlineStr">
        <is>
          <t>PRESUPUESTOS LINEA 5000</t>
        </is>
      </c>
      <c r="C57" s="3" t="n">
        <v>34</v>
      </c>
      <c r="D57" s="2" t="inlineStr">
        <is>
          <t>A34=DESCRIP. | B34=L-5000 | C34=AL.HORIZ: | D34=1 | E34=AL.VERT: | F34=1</t>
        </is>
      </c>
    </row>
    <row r="58">
      <c r="A58" s="2" t="inlineStr">
        <is>
          <t>Hoja7</t>
        </is>
      </c>
      <c r="B58" s="2" t="inlineStr">
        <is>
          <t>PRESUPUESTOS LINEA 5000</t>
        </is>
      </c>
      <c r="C58" s="3" t="n">
        <v>35</v>
      </c>
      <c r="D58" s="2" t="inlineStr">
        <is>
          <t>B35=VIDRIO: | C35=TRIPLE | D35=2 | E35=HOJAS | F35=CORREDERA</t>
        </is>
      </c>
    </row>
    <row r="59">
      <c r="A59" s="2" t="inlineStr">
        <is>
          <t>Hoja7</t>
        </is>
      </c>
      <c r="B59" s="2" t="inlineStr">
        <is>
          <t>PRESUPUESTOS LINEA 5000</t>
        </is>
      </c>
      <c r="C59" s="3" t="n">
        <v>36</v>
      </c>
      <c r="D59" s="2" t="inlineStr">
        <is>
          <t>C36=INGRESE | D36=ALUMINIO | F36=ALUMINIO</t>
        </is>
      </c>
    </row>
    <row r="60">
      <c r="A60" s="2" t="inlineStr">
        <is>
          <t>Hoja7</t>
        </is>
      </c>
      <c r="B60" s="2" t="inlineStr">
        <is>
          <t>PRESUPUESTOS LINEA 5000</t>
        </is>
      </c>
      <c r="C60" s="3" t="n">
        <v>37</v>
      </c>
      <c r="D60" s="2" t="inlineStr">
        <is>
          <t>C37=DATOS | D37=NATURAL | F37=CAFE</t>
        </is>
      </c>
    </row>
    <row r="61">
      <c r="A61" s="2" t="inlineStr">
        <is>
          <t>Hoja7</t>
        </is>
      </c>
      <c r="B61" s="2" t="inlineStr">
        <is>
          <t>PRESUPUESTOS LINEA 5000</t>
        </is>
      </c>
      <c r="C61" s="3" t="n">
        <v>39</v>
      </c>
      <c r="D61" s="2" t="inlineStr">
        <is>
          <t>A39=TRABAJO: | B39=L-5000 | C39=2 | D39=HOJAS</t>
        </is>
      </c>
    </row>
    <row r="62">
      <c r="A62" s="2" t="inlineStr">
        <is>
          <t>Hoja7</t>
        </is>
      </c>
      <c r="B62" s="2" t="inlineStr">
        <is>
          <t>PRESUPUESTOS LINEA 5000</t>
        </is>
      </c>
      <c r="C62" s="3" t="n">
        <v>41</v>
      </c>
      <c r="D62" s="2" t="inlineStr">
        <is>
          <t>A41=AL.HORIZ: | C41=1.47 | D41==C41*((C10+C11+C13+C14)/6) | F41==C41*((D10+D11+D13+D14)/6)</t>
        </is>
      </c>
    </row>
    <row r="63">
      <c r="A63" s="2" t="inlineStr">
        <is>
          <t>Hoja7</t>
        </is>
      </c>
      <c r="B63" s="2" t="inlineStr">
        <is>
          <t>PRESUPUESTOS LINEA 5000</t>
        </is>
      </c>
      <c r="C63" s="3" t="n">
        <v>42</v>
      </c>
      <c r="D63" s="2" t="inlineStr">
        <is>
          <t>A42=AL.VERT: | C42=0.92 | D42==2*(+C42*((C12+C15+C16)/6)) | F42==2*(+C42*((D12+D15+D16)/6))</t>
        </is>
      </c>
    </row>
    <row r="64">
      <c r="A64" s="2" t="inlineStr">
        <is>
          <t>Hoja7</t>
        </is>
      </c>
      <c r="B64" s="2" t="inlineStr">
        <is>
          <t>PRESUPUESTOS LINEA 5000</t>
        </is>
      </c>
      <c r="C64" s="3" t="n">
        <v>43</v>
      </c>
      <c r="D64" s="2" t="inlineStr">
        <is>
          <t>A43=VIDRIO: | C43=2 | D43==IF(C43&lt;=6,(C41*C42)*VLOOKUP(C43,F17:H23,3),0) | F43==+D43</t>
        </is>
      </c>
    </row>
    <row r="65">
      <c r="A65" s="2" t="inlineStr">
        <is>
          <t>Hoja7</t>
        </is>
      </c>
      <c r="B65" s="2" t="inlineStr">
        <is>
          <t>PRESUPUESTOS LINEA 5000</t>
        </is>
      </c>
      <c r="C65" s="3" t="n">
        <v>44</v>
      </c>
      <c r="D65" s="2" t="inlineStr">
        <is>
          <t>A44=BURLETE: | D44==((C41*2)+(C42*4))*G10 | F44==((C41*2)+(C42*4))*H10</t>
        </is>
      </c>
    </row>
    <row r="66">
      <c r="A66" s="2" t="inlineStr">
        <is>
          <t>Hoja7</t>
        </is>
      </c>
      <c r="B66" s="2" t="inlineStr">
        <is>
          <t>PRESUPUESTOS LINEA 5000</t>
        </is>
      </c>
      <c r="C66" s="3" t="n">
        <v>45</v>
      </c>
      <c r="D66" s="2" t="inlineStr">
        <is>
          <t>A45=FELPA: | D45==((C41*2)+(C42*4))*(1+0.1)*G11 | F45==((C41*2)+(C42*4))*(1+0.1)*H11</t>
        </is>
      </c>
    </row>
    <row r="67">
      <c r="A67" s="2" t="inlineStr">
        <is>
          <t>Hoja8</t>
        </is>
      </c>
      <c r="B67" s="2" t="inlineStr">
        <is>
          <t>FIJOS CON TUBULAR RECTANGULAR</t>
        </is>
      </c>
      <c r="C67" s="3" t="n">
        <v>34</v>
      </c>
      <c r="D67" s="2" t="inlineStr">
        <is>
          <t>C34=PRESUPUESTO ESTRUCTURA FIJA</t>
        </is>
      </c>
    </row>
    <row r="68">
      <c r="A68" s="2" t="inlineStr">
        <is>
          <t>Hoja8</t>
        </is>
      </c>
      <c r="B68" s="2" t="inlineStr">
        <is>
          <t>FIJOS CON TUBULAR RECTANGULAR</t>
        </is>
      </c>
      <c r="C68" s="3" t="n">
        <v>35</v>
      </c>
      <c r="D68" s="2" t="inlineStr">
        <is>
          <t>C35== | D35== | E35==========</t>
        </is>
      </c>
    </row>
    <row r="69">
      <c r="A69" s="2" t="inlineStr">
        <is>
          <t>Hoja8</t>
        </is>
      </c>
      <c r="B69" s="2" t="inlineStr">
        <is>
          <t>FIJOS CON TUBULAR RECTANGULAR</t>
        </is>
      </c>
      <c r="C69" s="3" t="n">
        <v>36</v>
      </c>
      <c r="D69" s="2" t="inlineStr">
        <is>
          <t>A36=FECHA: | B36=IQUIQUE, | C36=DICIEMBRE 24 DE 1996</t>
        </is>
      </c>
    </row>
    <row r="70">
      <c r="A70" s="2" t="inlineStr">
        <is>
          <t>Hoja8</t>
        </is>
      </c>
      <c r="B70" s="2" t="inlineStr">
        <is>
          <t>FIJOS CON TUBULAR RECTANGULAR</t>
        </is>
      </c>
      <c r="C70" s="3" t="n">
        <v>37</v>
      </c>
      <c r="D70" s="2" t="inlineStr">
        <is>
          <t>A37=CLIENTE:</t>
        </is>
      </c>
    </row>
    <row r="71">
      <c r="A71" s="2" t="inlineStr">
        <is>
          <t>Hoja8</t>
        </is>
      </c>
      <c r="B71" s="2" t="inlineStr">
        <is>
          <t>FIJOS CON TUBULAR RECTANGULAR</t>
        </is>
      </c>
      <c r="C71" s="3" t="n">
        <v>38</v>
      </c>
      <c r="D71" s="2" t="inlineStr">
        <is>
          <t>A38=DIREC:</t>
        </is>
      </c>
    </row>
    <row r="72">
      <c r="A72" s="2" t="inlineStr">
        <is>
          <t>Hoja8</t>
        </is>
      </c>
      <c r="B72" s="2" t="inlineStr">
        <is>
          <t>FIJOS CON TUBULAR RECTANGULAR</t>
        </is>
      </c>
      <c r="C72" s="3" t="n">
        <v>39</v>
      </c>
      <c r="D72" s="2" t="inlineStr">
        <is>
          <t>A39=FONO:</t>
        </is>
      </c>
    </row>
    <row r="73">
      <c r="A73" s="2" t="inlineStr">
        <is>
          <t>Hoja8</t>
        </is>
      </c>
      <c r="B73" s="2" t="inlineStr">
        <is>
          <t>FIJOS CON TUBULAR RECTANGULAR</t>
        </is>
      </c>
      <c r="C73" s="3" t="n">
        <v>40</v>
      </c>
      <c r="D73" s="2" t="inlineStr">
        <is>
          <t>A40=DESCRIP: | B40=PAÑO FIJO TUBULAR | D40=VIDRIO | E40=VITREA</t>
        </is>
      </c>
    </row>
    <row r="74">
      <c r="A74" s="2" t="inlineStr">
        <is>
          <t>Hoja8</t>
        </is>
      </c>
      <c r="B74" s="2" t="inlineStr">
        <is>
          <t>FIJOS CON TUBULAR RECTANGULAR</t>
        </is>
      </c>
      <c r="C74" s="3" t="n">
        <v>41</v>
      </c>
      <c r="D74" s="2" t="inlineStr">
        <is>
          <t>B41=ALTO: | C41=0.9 | D41=ANCHO: | E41=1.15</t>
        </is>
      </c>
    </row>
    <row r="75">
      <c r="A75" s="2" t="inlineStr">
        <is>
          <t>Hoja8</t>
        </is>
      </c>
      <c r="B75" s="2" t="inlineStr">
        <is>
          <t>FIJOS CON TUBULAR RECTANGULAR</t>
        </is>
      </c>
      <c r="C75" s="3" t="n">
        <v>43</v>
      </c>
      <c r="D75" s="2" t="inlineStr">
        <is>
          <t>C43=INGRESE | D43=ALUMINIO | G43=ALUMINIO</t>
        </is>
      </c>
    </row>
    <row r="76">
      <c r="A76" s="2" t="inlineStr">
        <is>
          <t>Hoja8</t>
        </is>
      </c>
      <c r="B76" s="2" t="inlineStr">
        <is>
          <t>FIJOS CON TUBULAR RECTANGULAR</t>
        </is>
      </c>
      <c r="C76" s="3" t="n">
        <v>44</v>
      </c>
      <c r="D76" s="2" t="inlineStr">
        <is>
          <t>C44=DATOS | D44=NATURAL | G44=CAFE</t>
        </is>
      </c>
    </row>
    <row r="77">
      <c r="A77" s="2" t="inlineStr">
        <is>
          <t>Hoja9</t>
        </is>
      </c>
      <c r="B77" s="2" t="inlineStr">
        <is>
          <t>FIJOS CON CENTRO DE PUERTA</t>
        </is>
      </c>
      <c r="C77" s="3" t="n">
        <v>34</v>
      </c>
      <c r="D77" s="2" t="inlineStr">
        <is>
          <t>C34=PRESUPUESTO ESTRUCTURA FIJA</t>
        </is>
      </c>
    </row>
    <row r="78">
      <c r="A78" s="2" t="inlineStr">
        <is>
          <t>Hoja9</t>
        </is>
      </c>
      <c r="B78" s="2" t="inlineStr">
        <is>
          <t>FIJOS CON CENTRO DE PUERTA</t>
        </is>
      </c>
      <c r="C78" s="3" t="n">
        <v>35</v>
      </c>
      <c r="D78" s="2" t="inlineStr">
        <is>
          <t>C35== | D35== | E35==========</t>
        </is>
      </c>
    </row>
    <row r="79">
      <c r="A79" s="2" t="inlineStr">
        <is>
          <t>Hoja9</t>
        </is>
      </c>
      <c r="B79" s="2" t="inlineStr">
        <is>
          <t>FIJOS CON CENTRO DE PUERTA</t>
        </is>
      </c>
      <c r="C79" s="3" t="n">
        <v>36</v>
      </c>
      <c r="D79" s="2" t="inlineStr">
        <is>
          <t>A36=FECHA: | B36=IQUIQUE, | C36=DICIEMBRE 24 DE 1996</t>
        </is>
      </c>
    </row>
    <row r="80">
      <c r="A80" s="2" t="inlineStr">
        <is>
          <t>Hoja9</t>
        </is>
      </c>
      <c r="B80" s="2" t="inlineStr">
        <is>
          <t>FIJOS CON CENTRO DE PUERTA</t>
        </is>
      </c>
      <c r="C80" s="3" t="n">
        <v>37</v>
      </c>
      <c r="D80" s="2" t="inlineStr">
        <is>
          <t>A37=CLIENTE:</t>
        </is>
      </c>
    </row>
    <row r="81">
      <c r="A81" s="2" t="inlineStr">
        <is>
          <t>Hoja9</t>
        </is>
      </c>
      <c r="B81" s="2" t="inlineStr">
        <is>
          <t>FIJOS CON CENTRO DE PUERTA</t>
        </is>
      </c>
      <c r="C81" s="3" t="n">
        <v>38</v>
      </c>
      <c r="D81" s="2" t="inlineStr">
        <is>
          <t>A38=DIREC:</t>
        </is>
      </c>
    </row>
    <row r="82">
      <c r="A82" s="2" t="inlineStr">
        <is>
          <t>Hoja9</t>
        </is>
      </c>
      <c r="B82" s="2" t="inlineStr">
        <is>
          <t>FIJOS CON CENTRO DE PUERTA</t>
        </is>
      </c>
      <c r="C82" s="3" t="n">
        <v>39</v>
      </c>
      <c r="D82" s="2" t="inlineStr">
        <is>
          <t>A39=FONO:</t>
        </is>
      </c>
    </row>
    <row r="83">
      <c r="A83" s="2" t="inlineStr">
        <is>
          <t>Hoja9</t>
        </is>
      </c>
      <c r="B83" s="2" t="inlineStr">
        <is>
          <t>FIJOS CON CENTRO DE PUERTA</t>
        </is>
      </c>
      <c r="C83" s="3" t="n">
        <v>40</v>
      </c>
      <c r="D83" s="2" t="inlineStr">
        <is>
          <t>A40=DESCRIP: | B40=PAÑO FIJO AL.7095 | D40=VIDRIO | E40=BRONC.4mm</t>
        </is>
      </c>
    </row>
    <row r="84">
      <c r="A84" s="2" t="inlineStr">
        <is>
          <t>Hoja9</t>
        </is>
      </c>
      <c r="B84" s="2" t="inlineStr">
        <is>
          <t>FIJOS CON CENTRO DE PUERTA</t>
        </is>
      </c>
      <c r="C84" s="3" t="n">
        <v>41</v>
      </c>
      <c r="D84" s="2" t="inlineStr">
        <is>
          <t>B41=ALTO: | C41=1 | D41=ANCHO: | E41=1</t>
        </is>
      </c>
    </row>
    <row r="85">
      <c r="A85" s="2" t="inlineStr">
        <is>
          <t>Hoja9</t>
        </is>
      </c>
      <c r="B85" s="2" t="inlineStr">
        <is>
          <t>FIJOS CON CENTRO DE PUERTA</t>
        </is>
      </c>
      <c r="C85" s="3" t="n">
        <v>43</v>
      </c>
      <c r="D85" s="2" t="inlineStr">
        <is>
          <t>C43=INGRESE | D43=ALUMINIO | G43=ALUMINIO</t>
        </is>
      </c>
    </row>
    <row r="86">
      <c r="A86" s="2" t="inlineStr">
        <is>
          <t>Hoja9</t>
        </is>
      </c>
      <c r="B86" s="2" t="inlineStr">
        <is>
          <t>FIJOS CON CENTRO DE PUERTA</t>
        </is>
      </c>
      <c r="C86" s="3" t="n">
        <v>44</v>
      </c>
      <c r="D86" s="2" t="inlineStr">
        <is>
          <t>C44=DATOS | D44=NATURAL | G44=CAFE</t>
        </is>
      </c>
    </row>
    <row r="87">
      <c r="A87" s="2" t="inlineStr">
        <is>
          <t>Hoja10</t>
        </is>
      </c>
      <c r="B87" s="2" t="inlineStr">
        <is>
          <t>PRESUPUESTOS LINEA 8000</t>
        </is>
      </c>
      <c r="C87" s="3" t="n">
        <v>34</v>
      </c>
      <c r="D87" s="2" t="inlineStr">
        <is>
          <t>C34=PRESUPUESTO LINEA 8000 | G34=Mano de obra | J34==AND(C47*C48&gt;0,C47*C48&lt;1)</t>
        </is>
      </c>
    </row>
    <row r="88">
      <c r="A88" s="2" t="inlineStr">
        <is>
          <t>Hoja10</t>
        </is>
      </c>
      <c r="B88" s="2" t="inlineStr">
        <is>
          <t>PRESUPUESTOS LINEA 8000</t>
        </is>
      </c>
      <c r="C88" s="3" t="n">
        <v>35</v>
      </c>
      <c r="D88" s="2" t="inlineStr">
        <is>
          <t>C35== | D35== | E35===== | J35==AND(C47*C48&gt;0.99,C47*C48&lt;2)</t>
        </is>
      </c>
    </row>
    <row r="89">
      <c r="A89" s="2" t="inlineStr">
        <is>
          <t>Hoja10</t>
        </is>
      </c>
      <c r="B89" s="2" t="inlineStr">
        <is>
          <t>PRESUPUESTOS LINEA 8000</t>
        </is>
      </c>
      <c r="C89" s="3" t="n">
        <v>36</v>
      </c>
      <c r="D89" s="2" t="inlineStr">
        <is>
          <t>A36=FECHA: | B36=IQUIQUE, | C36=DICIEMBRE 24 DE 1996 | J36==AND(C47*C48&gt;1.99,C47*C48&lt;3)</t>
        </is>
      </c>
    </row>
    <row r="90">
      <c r="A90" s="2" t="inlineStr">
        <is>
          <t>Hoja10</t>
        </is>
      </c>
      <c r="B90" s="2" t="inlineStr">
        <is>
          <t>PRESUPUESTOS LINEA 8000</t>
        </is>
      </c>
      <c r="C90" s="3" t="n">
        <v>37</v>
      </c>
      <c r="D90" s="2" t="inlineStr">
        <is>
          <t>A37=CLIENTE: | J37==AND(C47*C48&gt;2.99,C47*C48&lt;4)</t>
        </is>
      </c>
    </row>
    <row r="91">
      <c r="A91" s="2" t="inlineStr">
        <is>
          <t>Hoja10</t>
        </is>
      </c>
      <c r="B91" s="2" t="inlineStr">
        <is>
          <t>PRESUPUESTOS LINEA 8000</t>
        </is>
      </c>
      <c r="C91" s="3" t="n">
        <v>38</v>
      </c>
      <c r="D91" s="2" t="inlineStr">
        <is>
          <t>A38=DIREC: | J38==AND(C47*C48&gt;3.99,C47*C48&lt;5)</t>
        </is>
      </c>
    </row>
    <row r="92">
      <c r="A92" s="2" t="inlineStr">
        <is>
          <t>Hoja10</t>
        </is>
      </c>
      <c r="B92" s="2" t="inlineStr">
        <is>
          <t>PRESUPUESTOS LINEA 8000</t>
        </is>
      </c>
      <c r="C92" s="3" t="n">
        <v>39</v>
      </c>
      <c r="D92" s="2" t="inlineStr">
        <is>
          <t>A39=FONO:</t>
        </is>
      </c>
    </row>
    <row r="93">
      <c r="A93" s="2" t="inlineStr">
        <is>
          <t>Hoja10</t>
        </is>
      </c>
      <c r="B93" s="2" t="inlineStr">
        <is>
          <t>PRESUPUESTOS LINEA 8000</t>
        </is>
      </c>
      <c r="C93" s="3" t="n">
        <v>40</v>
      </c>
      <c r="D93" s="2" t="inlineStr">
        <is>
          <t>A40=DESCRIP: | B40=L-8000 | C40=AL.HORIZ: | D40=2 | E40=AL.VERT: | F40=2.3 | J40=Incolor / Incolor</t>
        </is>
      </c>
    </row>
    <row r="94">
      <c r="A94" s="2" t="inlineStr">
        <is>
          <t>Hoja10</t>
        </is>
      </c>
      <c r="B94" s="2" t="inlineStr">
        <is>
          <t>PRESUPUESTOS LINEA 8000</t>
        </is>
      </c>
      <c r="C94" s="3" t="n">
        <v>41</v>
      </c>
      <c r="D94" s="2" t="inlineStr">
        <is>
          <t>B41=VIDRIO: | C41=VITREA | D41=2 | E41=HOJAS | F41=CORREDERA | J41=Incolor / Bronce</t>
        </is>
      </c>
    </row>
    <row r="95">
      <c r="A95" s="2" t="inlineStr">
        <is>
          <t>Hoja10</t>
        </is>
      </c>
      <c r="B95" s="2" t="inlineStr">
        <is>
          <t>PRESUPUESTOS LINEA 8000</t>
        </is>
      </c>
      <c r="C95" s="3" t="n">
        <v>42</v>
      </c>
      <c r="D95" s="2" t="inlineStr">
        <is>
          <t>C42=INGRESE | D42=ALUMINIO | G42=ALUMINIO</t>
        </is>
      </c>
    </row>
    <row r="96">
      <c r="A96" s="2" t="inlineStr">
        <is>
          <t>Hoja10</t>
        </is>
      </c>
      <c r="B96" s="2" t="inlineStr">
        <is>
          <t>PRESUPUESTOS LINEA 8000</t>
        </is>
      </c>
      <c r="C96" s="3" t="n">
        <v>43</v>
      </c>
      <c r="D96" s="2" t="inlineStr">
        <is>
          <t>C43=DATOS | D43=NATURAL | G43=CAFE</t>
        </is>
      </c>
    </row>
    <row r="97">
      <c r="A97" s="2" t="inlineStr">
        <is>
          <t>Hoja10</t>
        </is>
      </c>
      <c r="B97" s="2" t="inlineStr">
        <is>
          <t>PRESUPUESTOS LINEA 8000</t>
        </is>
      </c>
      <c r="C97" s="3" t="n">
        <v>45</v>
      </c>
      <c r="D97" s="2" t="inlineStr">
        <is>
          <t>A45=TRABAJO: | B45=L-8000 | C45=3 | D45=HOJAS | E45=TERMOPANEL SATINADO | F45==C45 | G45=HOJAS</t>
        </is>
      </c>
    </row>
    <row r="98">
      <c r="A98" s="2" t="inlineStr">
        <is>
          <t>Hoja11</t>
        </is>
      </c>
      <c r="B98" s="2" t="inlineStr">
        <is>
          <t>CELOSIAS</t>
        </is>
      </c>
      <c r="C98" s="3" t="n">
        <v>34</v>
      </c>
      <c r="D98" s="2" t="inlineStr">
        <is>
          <t>C34=PRESUPUESTO CELOSIAS</t>
        </is>
      </c>
    </row>
    <row r="99">
      <c r="A99" s="2" t="inlineStr">
        <is>
          <t>Hoja11</t>
        </is>
      </c>
      <c r="B99" s="2" t="inlineStr">
        <is>
          <t>CELOSIAS</t>
        </is>
      </c>
      <c r="C99" s="3" t="n">
        <v>35</v>
      </c>
      <c r="D99" s="2" t="inlineStr">
        <is>
          <t>C35== | D35== | E35===</t>
        </is>
      </c>
    </row>
    <row r="100">
      <c r="A100" s="2" t="inlineStr">
        <is>
          <t>Hoja11</t>
        </is>
      </c>
      <c r="B100" s="2" t="inlineStr">
        <is>
          <t>CELOSIAS</t>
        </is>
      </c>
      <c r="C100" s="3" t="n">
        <v>36</v>
      </c>
      <c r="D100" s="2" t="inlineStr">
        <is>
          <t>A36=FECHA: | B36=IQUIQUE, | C36=DICIEMBRE 24 DE 1996</t>
        </is>
      </c>
    </row>
    <row r="101">
      <c r="A101" s="2" t="inlineStr">
        <is>
          <t>Hoja11</t>
        </is>
      </c>
      <c r="B101" s="2" t="inlineStr">
        <is>
          <t>CELOSIAS</t>
        </is>
      </c>
      <c r="C101" s="3" t="n">
        <v>37</v>
      </c>
      <c r="D101" s="2" t="inlineStr">
        <is>
          <t>A37=CLIENTE:</t>
        </is>
      </c>
    </row>
    <row r="102">
      <c r="A102" s="2" t="inlineStr">
        <is>
          <t>Hoja11</t>
        </is>
      </c>
      <c r="B102" s="2" t="inlineStr">
        <is>
          <t>CELOSIAS</t>
        </is>
      </c>
      <c r="C102" s="3" t="n">
        <v>38</v>
      </c>
      <c r="D102" s="2" t="inlineStr">
        <is>
          <t>A38=DIREC.</t>
        </is>
      </c>
    </row>
    <row r="103">
      <c r="A103" s="2" t="inlineStr">
        <is>
          <t>Hoja11</t>
        </is>
      </c>
      <c r="B103" s="2" t="inlineStr">
        <is>
          <t>CELOSIAS</t>
        </is>
      </c>
      <c r="C103" s="3" t="n">
        <v>39</v>
      </c>
      <c r="D103" s="2" t="inlineStr">
        <is>
          <t>A39=FONO:</t>
        </is>
      </c>
    </row>
    <row r="104">
      <c r="A104" s="2" t="inlineStr">
        <is>
          <t>Hoja11</t>
        </is>
      </c>
      <c r="B104" s="2" t="inlineStr">
        <is>
          <t>CELOSIAS</t>
        </is>
      </c>
      <c r="C104" s="3" t="n">
        <v>40</v>
      </c>
      <c r="D104" s="2" t="inlineStr">
        <is>
          <t>A40=DESCRIP: | B40=CELOSIAS | C40=AL.HORIZ: | D40=0.75 | E40=AL.VERT: | F40=0.6</t>
        </is>
      </c>
    </row>
    <row r="105">
      <c r="A105" s="2" t="inlineStr">
        <is>
          <t>Hoja11</t>
        </is>
      </c>
      <c r="B105" s="2" t="inlineStr">
        <is>
          <t>CELOSIAS</t>
        </is>
      </c>
      <c r="C105" s="3" t="n">
        <v>41</v>
      </c>
      <c r="D105" s="2" t="inlineStr">
        <is>
          <t>B41=VIDRIO: | C41=CATEDRAL | D41=1 | E41=CELOSIAS</t>
        </is>
      </c>
    </row>
    <row r="106">
      <c r="A106" s="2" t="inlineStr">
        <is>
          <t>Hoja11</t>
        </is>
      </c>
      <c r="B106" s="2" t="inlineStr">
        <is>
          <t>CELOSIAS</t>
        </is>
      </c>
      <c r="C106" s="3" t="n">
        <v>43</v>
      </c>
      <c r="D106" s="2" t="inlineStr">
        <is>
          <t>C43=INGRESE | D43=ALUMINIO | G43=ALUMINIO</t>
        </is>
      </c>
    </row>
    <row r="107">
      <c r="A107" s="2" t="inlineStr">
        <is>
          <t>Hoja11</t>
        </is>
      </c>
      <c r="B107" s="2" t="inlineStr">
        <is>
          <t>CELOSIAS</t>
        </is>
      </c>
      <c r="C107" s="3" t="n">
        <v>44</v>
      </c>
      <c r="D107" s="2" t="inlineStr">
        <is>
          <t>C44=DATOS | D44=NATURAL | G44=CAFE</t>
        </is>
      </c>
    </row>
    <row r="108">
      <c r="A108" s="2" t="inlineStr">
        <is>
          <t>Hoja12</t>
        </is>
      </c>
      <c r="B108" s="2" t="inlineStr">
        <is>
          <t>PRESUPUESTOS LINEA 7000</t>
        </is>
      </c>
      <c r="C108" s="3" t="n">
        <v>34</v>
      </c>
      <c r="D108" s="2" t="inlineStr">
        <is>
          <t>C34=PRESUPUESTO LINEA 7000</t>
        </is>
      </c>
    </row>
    <row r="109">
      <c r="A109" s="2" t="inlineStr">
        <is>
          <t>Hoja12</t>
        </is>
      </c>
      <c r="B109" s="2" t="inlineStr">
        <is>
          <t>PRESUPUESTOS LINEA 7000</t>
        </is>
      </c>
      <c r="C109" s="3" t="n">
        <v>35</v>
      </c>
      <c r="D109" s="2" t="inlineStr">
        <is>
          <t>C35== | D35== | E35=====</t>
        </is>
      </c>
    </row>
    <row r="110">
      <c r="A110" s="2" t="inlineStr">
        <is>
          <t>Hoja12</t>
        </is>
      </c>
      <c r="B110" s="2" t="inlineStr">
        <is>
          <t>PRESUPUESTOS LINEA 7000</t>
        </is>
      </c>
      <c r="C110" s="3" t="n">
        <v>36</v>
      </c>
      <c r="D110" s="2" t="inlineStr">
        <is>
          <t>A36=FECHA: | B36=IQUIQUE, | C36=DICIEMBRE 24 DE 1996</t>
        </is>
      </c>
    </row>
    <row r="111">
      <c r="A111" s="2" t="inlineStr">
        <is>
          <t>Hoja12</t>
        </is>
      </c>
      <c r="B111" s="2" t="inlineStr">
        <is>
          <t>PRESUPUESTOS LINEA 7000</t>
        </is>
      </c>
      <c r="C111" s="3" t="n">
        <v>37</v>
      </c>
      <c r="D111" s="2" t="inlineStr">
        <is>
          <t>A37=CLIENTE:</t>
        </is>
      </c>
    </row>
    <row r="112">
      <c r="A112" s="2" t="inlineStr">
        <is>
          <t>Hoja12</t>
        </is>
      </c>
      <c r="B112" s="2" t="inlineStr">
        <is>
          <t>PRESUPUESTOS LINEA 7000</t>
        </is>
      </c>
      <c r="C112" s="3" t="n">
        <v>38</v>
      </c>
      <c r="D112" s="2" t="inlineStr">
        <is>
          <t>A38=DIREC.</t>
        </is>
      </c>
    </row>
    <row r="113">
      <c r="A113" s="2" t="inlineStr">
        <is>
          <t>Hoja12</t>
        </is>
      </c>
      <c r="B113" s="2" t="inlineStr">
        <is>
          <t>PRESUPUESTOS LINEA 7000</t>
        </is>
      </c>
      <c r="C113" s="3" t="n">
        <v>39</v>
      </c>
      <c r="D113" s="2" t="inlineStr">
        <is>
          <t>A39=FONO:</t>
        </is>
      </c>
    </row>
    <row r="114">
      <c r="A114" s="2" t="inlineStr">
        <is>
          <t>Hoja12</t>
        </is>
      </c>
      <c r="B114" s="2" t="inlineStr">
        <is>
          <t>PRESUPUESTOS LINEA 7000</t>
        </is>
      </c>
      <c r="C114" s="3" t="n">
        <v>40</v>
      </c>
      <c r="D114" s="2" t="inlineStr">
        <is>
          <t>A40=DESCRIP: | B40=L-7000 | C40=AL.HORIZ: | D40=1.9 | E40=AL.VERT: | F40=1.2</t>
        </is>
      </c>
    </row>
    <row r="115">
      <c r="A115" s="2" t="inlineStr">
        <is>
          <t>Hoja12</t>
        </is>
      </c>
      <c r="B115" s="2" t="inlineStr">
        <is>
          <t>PRESUPUESTOS LINEA 7000</t>
        </is>
      </c>
      <c r="C115" s="3" t="n">
        <v>41</v>
      </c>
      <c r="D115" s="2" t="inlineStr">
        <is>
          <t>B41=VIDRIO: | C41=VITREA | D41=2 | E41=HOJAS | F41=CORREDERA</t>
        </is>
      </c>
    </row>
    <row r="116">
      <c r="A116" s="2" t="inlineStr">
        <is>
          <t>Hoja12</t>
        </is>
      </c>
      <c r="B116" s="2" t="inlineStr">
        <is>
          <t>PRESUPUESTOS LINEA 7000</t>
        </is>
      </c>
      <c r="C116" s="3" t="n">
        <v>43</v>
      </c>
      <c r="D116" s="2" t="inlineStr">
        <is>
          <t>C43=INGRESE | D43=ALUMINIO | G43=ALUMINIO</t>
        </is>
      </c>
    </row>
    <row r="117">
      <c r="A117" s="2" t="inlineStr">
        <is>
          <t>Hoja12</t>
        </is>
      </c>
      <c r="B117" s="2" t="inlineStr">
        <is>
          <t>PRESUPUESTOS LINEA 7000</t>
        </is>
      </c>
      <c r="C117" s="3" t="n">
        <v>44</v>
      </c>
      <c r="D117" s="2" t="inlineStr">
        <is>
          <t>C44=DATOS | D44=NATURAL | G44=CAFE</t>
        </is>
      </c>
    </row>
    <row r="118">
      <c r="A118" s="2" t="inlineStr">
        <is>
          <t>Hoja13</t>
        </is>
      </c>
      <c r="B118" s="2" t="inlineStr">
        <is>
          <t>PRESUPUESTO VENTANA DE ABATIR</t>
        </is>
      </c>
      <c r="C118" s="3" t="n">
        <v>34</v>
      </c>
      <c r="D118" s="2" t="inlineStr">
        <is>
          <t>A34=DESCRIP. | B34=VENTANA ABATIR  | D34=1 HOJA | E34=VIDRIO: | F34=BR/GR 4mm</t>
        </is>
      </c>
    </row>
    <row r="119">
      <c r="A119" s="2" t="inlineStr">
        <is>
          <t>Hoja13</t>
        </is>
      </c>
      <c r="B119" s="2" t="inlineStr">
        <is>
          <t>PRESUPUESTO VENTANA DE ABATIR</t>
        </is>
      </c>
      <c r="C119" s="3" t="n">
        <v>35</v>
      </c>
      <c r="D119" s="2" t="inlineStr">
        <is>
          <t>B35=ALTO: | C35=1 | D35=ANCHO: | E35=0.5</t>
        </is>
      </c>
    </row>
    <row r="120">
      <c r="A120" s="2" t="inlineStr">
        <is>
          <t>Hoja13</t>
        </is>
      </c>
      <c r="B120" s="2" t="inlineStr">
        <is>
          <t>PRESUPUESTO VENTANA DE ABATIR</t>
        </is>
      </c>
      <c r="C120" s="3" t="n">
        <v>36</v>
      </c>
      <c r="D120" s="2" t="inlineStr">
        <is>
          <t>C36=INGRESE | D36=ALUMINIO | F36=ALUMINIO</t>
        </is>
      </c>
    </row>
    <row r="121">
      <c r="A121" s="2" t="inlineStr">
        <is>
          <t>Hoja13</t>
        </is>
      </c>
      <c r="B121" s="2" t="inlineStr">
        <is>
          <t>PRESUPUESTO VENTANA DE ABATIR</t>
        </is>
      </c>
      <c r="C121" s="3" t="n">
        <v>37</v>
      </c>
      <c r="D121" s="2" t="inlineStr">
        <is>
          <t>C37=DATOS | D37=NATURAL | F37=CAFE</t>
        </is>
      </c>
    </row>
    <row r="122">
      <c r="A122" s="2" t="inlineStr">
        <is>
          <t>Hoja13</t>
        </is>
      </c>
      <c r="B122" s="2" t="inlineStr">
        <is>
          <t>PRESUPUESTO VENTANA DE ABATIR</t>
        </is>
      </c>
      <c r="C122" s="3" t="n">
        <v>39</v>
      </c>
      <c r="D122" s="2" t="inlineStr">
        <is>
          <t>A39=TRABAJO: | B39=VENTANA ABATIR  | D39=1 HOJA</t>
        </is>
      </c>
    </row>
    <row r="123">
      <c r="A123" s="2" t="inlineStr">
        <is>
          <t>Hoja13</t>
        </is>
      </c>
      <c r="B123" s="2" t="inlineStr">
        <is>
          <t>PRESUPUESTO VENTANA DE ABATIR</t>
        </is>
      </c>
      <c r="C123" s="3" t="n">
        <v>41</v>
      </c>
      <c r="D123" s="2" t="inlineStr">
        <is>
          <t>A41=ALTO: | B41=5007: | C41=0.5 | D41==C41*(C10/6)*2 | F41==C41*(D10/6)*2</t>
        </is>
      </c>
    </row>
    <row r="124">
      <c r="A124" s="2" t="inlineStr">
        <is>
          <t>Hoja13</t>
        </is>
      </c>
      <c r="B124" s="2" t="inlineStr">
        <is>
          <t>PRESUPUESTO VENTANA DE ABATIR</t>
        </is>
      </c>
      <c r="C124" s="3" t="n">
        <v>42</v>
      </c>
      <c r="D124" s="2" t="inlineStr">
        <is>
          <t>A42=ANCHO: | B42=5007: | C42=0.5 | D42==C42*(C10/6)*2 | F42==C42*(D10/6)*2</t>
        </is>
      </c>
    </row>
    <row r="125">
      <c r="A125" s="2" t="inlineStr">
        <is>
          <t>Hoja13</t>
        </is>
      </c>
      <c r="B125" s="2" t="inlineStr">
        <is>
          <t>PRESUPUESTO VENTANA DE ABATIR</t>
        </is>
      </c>
      <c r="C125" s="3" t="n">
        <v>43</v>
      </c>
      <c r="D125" s="2" t="inlineStr">
        <is>
          <t>A43=VIDRIO: | C43=2 | D43==(C41*C42)*VLOOKUP(C43,F17:H24,3) | F43==(C41*C42)*VLOOKUP(C43,F17:H24,3)</t>
        </is>
      </c>
    </row>
    <row r="126">
      <c r="A126" s="2" t="inlineStr">
        <is>
          <t>Hoja13</t>
        </is>
      </c>
      <c r="B126" s="2" t="inlineStr">
        <is>
          <t>PRESUPUESTO VENTANA DE ABATIR</t>
        </is>
      </c>
      <c r="C126" s="3" t="n">
        <v>44</v>
      </c>
      <c r="D126" s="2" t="inlineStr">
        <is>
          <t>A44=BURLETE: | D44==((C41*2)+(C42*2))*G10 | F44==((C41*2)+(C42*2))*H10</t>
        </is>
      </c>
    </row>
    <row r="127">
      <c r="A127" s="2" t="inlineStr">
        <is>
          <t>Hoja13</t>
        </is>
      </c>
      <c r="B127" s="2" t="inlineStr">
        <is>
          <t>PRESUPUESTO VENTANA DE ABATIR</t>
        </is>
      </c>
      <c r="C127" s="3" t="n">
        <v>45</v>
      </c>
      <c r="D127" s="2" t="inlineStr">
        <is>
          <t>A45=FELPA: | D45==((C41*2)+(C42*2))*(1+0.1)*G11 | F45==((C41*2)+(C42*2))*(1+0.1)*H11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28" customWidth="1" min="4" max="4"/>
    <col width="100" customWidth="1" min="5" max="5"/>
    <col width="60" customWidth="1" min="6" max="6"/>
  </cols>
  <sheetData>
    <row r="1">
      <c r="A1" s="1" t="inlineStr">
        <is>
          <t>Hoja</t>
        </is>
      </c>
      <c r="B1" s="1" t="inlineStr">
        <is>
          <t>Producto</t>
        </is>
      </c>
      <c r="C1" s="1" t="inlineStr">
        <is>
          <t>Fila</t>
        </is>
      </c>
      <c r="D1" s="1" t="inlineStr">
        <is>
          <t>Concepto</t>
        </is>
      </c>
      <c r="E1" s="1" t="inlineStr">
        <is>
          <t>Fórmulas</t>
        </is>
      </c>
      <c r="F1" s="1" t="inlineStr">
        <is>
          <t>Valores guardados</t>
        </is>
      </c>
    </row>
    <row r="2">
      <c r="A2" s="2" t="inlineStr">
        <is>
          <t>Hoja2</t>
        </is>
      </c>
      <c r="B2" s="2" t="inlineStr">
        <is>
          <t>PRESUPUESTO SHOWER DOOR LINEA AM-12 ALUMCO</t>
        </is>
      </c>
      <c r="C2" s="3" t="n">
        <v>45</v>
      </c>
      <c r="D2" s="2" t="inlineStr">
        <is>
          <t>TRABAJO: SH.DOOR 2</t>
        </is>
      </c>
      <c r="E2" s="2" t="inlineStr">
        <is>
          <t>F45: =C45</t>
        </is>
      </c>
      <c r="F2" s="2" t="inlineStr">
        <is>
          <t>F45: 2</t>
        </is>
      </c>
    </row>
    <row r="3">
      <c r="A3" s="2" t="inlineStr">
        <is>
          <t>Hoja2</t>
        </is>
      </c>
      <c r="B3" s="2" t="inlineStr">
        <is>
          <t>PRESUPUESTO SHOWER DOOR LINEA AM-12 ALUMCO</t>
        </is>
      </c>
      <c r="C3" s="3" t="n">
        <v>47</v>
      </c>
      <c r="D3" s="2" t="inlineStr">
        <is>
          <t>AL.HORIZ: 0.93</t>
        </is>
      </c>
      <c r="E3" s="2" t="inlineStr">
        <is>
          <t>D47: =C47*((C10+C12+(C13*2))/6) | F47: =C47 | G47: =C47*((D10+D12+(D13*2))/6)</t>
        </is>
      </c>
      <c r="F3" s="2" t="inlineStr">
        <is>
          <t>D47: 10921.3 | F47: 0.93 | G47: 11801.7</t>
        </is>
      </c>
    </row>
    <row r="4">
      <c r="A4" s="2" t="inlineStr">
        <is>
          <t>Hoja2</t>
        </is>
      </c>
      <c r="B4" s="2" t="inlineStr">
        <is>
          <t>PRESUPUESTO SHOWER DOOR LINEA AM-12 ALUMCO</t>
        </is>
      </c>
      <c r="C4" s="3" t="n">
        <v>48</v>
      </c>
      <c r="D4" s="2" t="inlineStr">
        <is>
          <t>AL.VERT: 1.8</t>
        </is>
      </c>
      <c r="E4" s="2" t="inlineStr">
        <is>
          <t>D48: =(((+C48*4)*(C13/6))+((C48*2)*(C11/6))) | F48: =C48 | G48: =(((+C48*4)*(D13/6))+((C48*2)*(D11/6)))</t>
        </is>
      </c>
      <c r="F4" s="2" t="inlineStr">
        <is>
          <t>D48: 21318 | F48: 1.8 | G48: 23058</t>
        </is>
      </c>
    </row>
    <row r="5">
      <c r="A5" s="2" t="inlineStr">
        <is>
          <t>Hoja2</t>
        </is>
      </c>
      <c r="B5" s="2" t="inlineStr">
        <is>
          <t>PRESUPUESTO SHOWER DOOR LINEA AM-12 ALUMCO</t>
        </is>
      </c>
      <c r="C5" s="3" t="n">
        <v>49</v>
      </c>
      <c r="D5" s="2" t="inlineStr">
        <is>
          <t>ACRILICO</t>
        </is>
      </c>
      <c r="E5" s="2" t="inlineStr">
        <is>
          <t>D49: =IF(C48&gt;1.45,(B22*2),(B21*2)) | G49: =IF(C48&gt;1.45,(C22*2),(C21*2))</t>
        </is>
      </c>
      <c r="F5" s="2" t="inlineStr">
        <is>
          <t>D49: 40400 | G49: 40400</t>
        </is>
      </c>
    </row>
    <row r="6">
      <c r="A6" s="2" t="inlineStr">
        <is>
          <t>Hoja2</t>
        </is>
      </c>
      <c r="B6" s="2" t="inlineStr">
        <is>
          <t>PRESUPUESTO SHOWER DOOR LINEA AM-12 ALUMCO</t>
        </is>
      </c>
      <c r="C6" s="3" t="n">
        <v>50</v>
      </c>
      <c r="D6" s="2" t="inlineStr">
        <is>
          <t>BURLETE:</t>
        </is>
      </c>
      <c r="E6" s="2" t="inlineStr">
        <is>
          <t>D50: =((C47*2)+(C48*4))*G10 | G50: =((C47*2)+(C48*4))*G10</t>
        </is>
      </c>
      <c r="F6" s="2" t="inlineStr">
        <is>
          <t>D50: 4348.8 | G50: 4348.8</t>
        </is>
      </c>
    </row>
    <row r="7">
      <c r="A7" s="2" t="inlineStr">
        <is>
          <t>Hoja2</t>
        </is>
      </c>
      <c r="B7" s="2" t="inlineStr">
        <is>
          <t>PRESUPUESTO SHOWER DOOR LINEA AM-12 ALUMCO</t>
        </is>
      </c>
      <c r="C7" s="3" t="n">
        <v>51</v>
      </c>
      <c r="D7" s="2" t="inlineStr">
        <is>
          <t>FELPA:</t>
        </is>
      </c>
      <c r="E7" s="2" t="inlineStr">
        <is>
          <t>D51: =(((C47*2)+(C48*4))*(1+0.1))*G11 | G51: =(((C47*2)+(C48*4))*(1+0.1))*G11</t>
        </is>
      </c>
      <c r="F7" s="2" t="inlineStr">
        <is>
          <t>D51: 0 | G51: 0</t>
        </is>
      </c>
    </row>
    <row r="8">
      <c r="A8" s="2" t="inlineStr">
        <is>
          <t>Hoja2</t>
        </is>
      </c>
      <c r="B8" s="2" t="inlineStr">
        <is>
          <t>PRESUPUESTO SHOWER DOOR LINEA AM-12 ALUMCO</t>
        </is>
      </c>
      <c r="C8" s="3" t="n">
        <v>52</v>
      </c>
      <c r="D8" s="2" t="inlineStr">
        <is>
          <t>RODAM.: 4</t>
        </is>
      </c>
      <c r="E8" s="2" t="inlineStr">
        <is>
          <t>D52: =C52*G12 | F52: =C52 | G52: =C52*G12</t>
        </is>
      </c>
      <c r="F8" s="2" t="inlineStr">
        <is>
          <t>D52: 4800 | F52: 4 | G52: 4800</t>
        </is>
      </c>
    </row>
    <row r="9">
      <c r="A9" s="2" t="inlineStr">
        <is>
          <t>Hoja2</t>
        </is>
      </c>
      <c r="B9" s="2" t="inlineStr">
        <is>
          <t>PRESUPUESTO SHOWER DOOR LINEA AM-12 ALUMCO</t>
        </is>
      </c>
      <c r="C9" s="3" t="n">
        <v>53</v>
      </c>
      <c r="D9" s="2" t="inlineStr">
        <is>
          <t>M.OBRA:</t>
        </is>
      </c>
      <c r="E9" s="2" t="inlineStr">
        <is>
          <t>D53: =IF(C55&gt;0,(G13+G13/2),G13) | G53: =IF(C55&gt;0,(G13+G13/2),G13)</t>
        </is>
      </c>
      <c r="F9" s="2" t="inlineStr">
        <is>
          <t>D53: 33000 | G53: 33000</t>
        </is>
      </c>
    </row>
    <row r="10">
      <c r="A10" s="2" t="inlineStr">
        <is>
          <t>Hoja2</t>
        </is>
      </c>
      <c r="B10" s="2" t="inlineStr">
        <is>
          <t>PRESUPUESTO SHOWER DOOR LINEA AM-12 ALUMCO</t>
        </is>
      </c>
      <c r="C10" s="3" t="n">
        <v>54</v>
      </c>
      <c r="D10" s="2" t="inlineStr">
        <is>
          <t>PALILLO: Si=1/No=0 0</t>
        </is>
      </c>
      <c r="E10" s="2" t="inlineStr">
        <is>
          <t>D54: =C54*(C47*(C15/6)+(2*(C47*G10))) | F54: =C54 | G54: =C54*(C47*(D15/6)+(2*(C47*G10)))</t>
        </is>
      </c>
      <c r="F10" s="2" t="inlineStr">
        <is>
          <t>D54: 0 | F54: 0 | G54: 0</t>
        </is>
      </c>
    </row>
    <row r="11">
      <c r="A11" s="2" t="inlineStr">
        <is>
          <t>Hoja2</t>
        </is>
      </c>
      <c r="B11" s="2" t="inlineStr">
        <is>
          <t>PRESUPUESTO SHOWER DOOR LINEA AM-12 ALUMCO</t>
        </is>
      </c>
      <c r="C11" s="3" t="n">
        <v>55</v>
      </c>
      <c r="D11" s="2" t="inlineStr">
        <is>
          <t>HOJA FIJA: ANCHO: 0</t>
        </is>
      </c>
      <c r="E11" s="2" t="inlineStr">
        <is>
          <t>D55: =IF(C55&gt;0,(((C55+C48*2)*C13/6)+((C55+C48*2)*G10)+B22),0) | F55: =C55 | G55: =IF(C55&gt;0,(((C55+C48*2)*D13/6)+((C55+C48*2)*G10)+C22),0)</t>
        </is>
      </c>
      <c r="F11" s="2" t="inlineStr">
        <is>
          <t>D55: 0 | F55: 0 | G55: 0</t>
        </is>
      </c>
    </row>
    <row r="12">
      <c r="A12" s="2" t="inlineStr">
        <is>
          <t>Hoja2</t>
        </is>
      </c>
      <c r="B12" s="2" t="inlineStr">
        <is>
          <t>PRESUPUESTO SHOWER DOOR LINEA AM-12 ALUMCO</t>
        </is>
      </c>
      <c r="C12" s="3" t="n">
        <v>56</v>
      </c>
      <c r="D12" s="2" t="inlineStr">
        <is>
          <t>ACR.EXTRA PLANCHAS: 0</t>
        </is>
      </c>
      <c r="E12" s="2" t="inlineStr">
        <is>
          <t>D56: =C56*B22 | G56: =C56*C22</t>
        </is>
      </c>
      <c r="F12" s="2" t="inlineStr">
        <is>
          <t>D56: 0 | G56: 0</t>
        </is>
      </c>
    </row>
    <row r="13">
      <c r="A13" s="2" t="inlineStr">
        <is>
          <t>Hoja2</t>
        </is>
      </c>
      <c r="B13" s="2" t="inlineStr">
        <is>
          <t>PRESUPUESTO SHOWER DOOR LINEA AM-12 ALUMCO</t>
        </is>
      </c>
      <c r="C13" s="3" t="n">
        <v>57</v>
      </c>
      <c r="D13" s="2" t="inlineStr">
        <is>
          <t>TUBO ESQ.: Si=1/No=0 0</t>
        </is>
      </c>
      <c r="E13" s="2" t="inlineStr">
        <is>
          <t>D57: =C57*(C48*C16/6) | F57: =C57 | G57: =C57*(C48*D16/6)</t>
        </is>
      </c>
      <c r="F13" s="2" t="inlineStr">
        <is>
          <t>D57: 0 | F57: 0 | G57: 0</t>
        </is>
      </c>
    </row>
    <row r="14">
      <c r="A14" s="2" t="inlineStr">
        <is>
          <t>Hoja2</t>
        </is>
      </c>
      <c r="B14" s="2" t="inlineStr">
        <is>
          <t>PRESUPUESTO SHOWER DOOR LINEA AM-12 ALUMCO</t>
        </is>
      </c>
      <c r="C14" s="3" t="n">
        <v>59</v>
      </c>
      <c r="D14" s="2" t="inlineStr"/>
      <c r="E14" s="2" t="inlineStr">
        <is>
          <t>D59: =SUM(D47:D57) | G59: =SUM(G47:G57)</t>
        </is>
      </c>
      <c r="F14" s="2" t="inlineStr">
        <is>
          <t>D59: 114788.1 | G59: 117408.5</t>
        </is>
      </c>
    </row>
    <row r="15">
      <c r="A15" s="2" t="inlineStr">
        <is>
          <t>Hoja2</t>
        </is>
      </c>
      <c r="B15" s="2" t="inlineStr">
        <is>
          <t>PRESUPUESTO SHOWER DOOR LINEA AM-12 ALUMCO</t>
        </is>
      </c>
      <c r="C15" s="3" t="n">
        <v>60</v>
      </c>
      <c r="D15" s="2" t="inlineStr">
        <is>
          <t>TOTAL:</t>
        </is>
      </c>
      <c r="E15" s="2" t="inlineStr">
        <is>
          <t>D60: =CEILING(((+D59*10)/100)+D59,1000) | G60: =CEILING(((+G59*10)/100)+G59,1000)</t>
        </is>
      </c>
      <c r="F15" s="2" t="inlineStr">
        <is>
          <t>D60: 127000 | G60: 130000</t>
        </is>
      </c>
    </row>
    <row r="16">
      <c r="A16" s="2" t="inlineStr">
        <is>
          <t>Hoja2</t>
        </is>
      </c>
      <c r="B16" s="2" t="inlineStr">
        <is>
          <t>PRESUPUESTO SHOWER DOOR LINEA AM-12 ALUMCO</t>
        </is>
      </c>
      <c r="C16" s="3" t="n">
        <v>63</v>
      </c>
      <c r="D16" s="2" t="inlineStr"/>
      <c r="E16" s="2" t="inlineStr">
        <is>
          <t>G63: =CEILING(G60*10%+G60,1000)</t>
        </is>
      </c>
      <c r="F16" s="2" t="inlineStr">
        <is>
          <t>G63: 143000</t>
        </is>
      </c>
    </row>
    <row r="17">
      <c r="A17" s="2" t="inlineStr">
        <is>
          <t>Hoja2</t>
        </is>
      </c>
      <c r="B17" s="2" t="inlineStr">
        <is>
          <t>PRESUPUESTO SHOWER DOOR LINEA AM-12 ALUMCO</t>
        </is>
      </c>
      <c r="C17" s="3" t="n">
        <v>66</v>
      </c>
      <c r="D17" s="2" t="inlineStr"/>
      <c r="E17" s="2" t="inlineStr">
        <is>
          <t>G66: =CEILING(G63*10%+G63,1000)</t>
        </is>
      </c>
      <c r="F17" s="2" t="inlineStr">
        <is>
          <t>G66: 158000</t>
        </is>
      </c>
    </row>
    <row r="18">
      <c r="A18" s="2" t="inlineStr">
        <is>
          <t>Hoja3</t>
        </is>
      </c>
      <c r="B18" s="2" t="inlineStr">
        <is>
          <t>PRESUPUESTO VENTANA CON BRAZO EXT.</t>
        </is>
      </c>
      <c r="C18" s="3" t="n">
        <v>39</v>
      </c>
      <c r="D18" s="2" t="inlineStr">
        <is>
          <t>2</t>
        </is>
      </c>
      <c r="E18" s="2" t="inlineStr">
        <is>
          <t>A39: =VLOOKUP(C39,$A$22:$D$23,2)</t>
        </is>
      </c>
      <c r="F18" s="2" t="inlineStr">
        <is>
          <t>A39: VENT.ABATIR C/FIJO</t>
        </is>
      </c>
    </row>
    <row r="19">
      <c r="A19" s="2" t="inlineStr">
        <is>
          <t>Hoja3</t>
        </is>
      </c>
      <c r="B19" s="2" t="inlineStr">
        <is>
          <t>PRESUPUESTO VENTANA CON BRAZO EXT.</t>
        </is>
      </c>
      <c r="C19" s="3" t="n">
        <v>41</v>
      </c>
      <c r="D19" s="2" t="inlineStr">
        <is>
          <t>ALTO: 3201 1.89</t>
        </is>
      </c>
      <c r="E19" s="2" t="inlineStr">
        <is>
          <t>D41: =((C41*2)+(C42*2))*C10/6 | F41: =((C41*2)+(C42*2))*D10/6</t>
        </is>
      </c>
      <c r="F19" s="2" t="inlineStr">
        <is>
          <t>D41: 9193.226 | F41: 9928.6841</t>
        </is>
      </c>
    </row>
    <row r="20">
      <c r="A20" s="2" t="inlineStr">
        <is>
          <t>Hoja3</t>
        </is>
      </c>
      <c r="B20" s="2" t="inlineStr">
        <is>
          <t>PRESUPUESTO VENTANA CON BRAZO EXT.</t>
        </is>
      </c>
      <c r="C20" s="3" t="n">
        <v>42</v>
      </c>
      <c r="D20" s="2" t="inlineStr">
        <is>
          <t>ANCHO: 3202 0.25</t>
        </is>
      </c>
      <c r="E20" s="2" t="inlineStr">
        <is>
          <t>D42: =(((C41*2)+(C42*2))*C11/6)+(((C41*2)+(C42*2))*C12/6) | F42: =(((C41*2)+(C42*2))*D11/6)+(((C41*2)+(C42*2))*D12/6)</t>
        </is>
      </c>
      <c r="F20" s="2" t="inlineStr">
        <is>
          <t>D42: 19074.034 | F42: 20599.9567</t>
        </is>
      </c>
    </row>
    <row r="21">
      <c r="A21" s="2" t="inlineStr">
        <is>
          <t>Hoja3</t>
        </is>
      </c>
      <c r="B21" s="2" t="inlineStr">
        <is>
          <t>PRESUPUESTO VENTANA CON BRAZO EXT.</t>
        </is>
      </c>
      <c r="C21" s="3" t="n">
        <v>43</v>
      </c>
      <c r="D21" s="2" t="inlineStr">
        <is>
          <t>VIDRIO: 8</t>
        </is>
      </c>
      <c r="E21" s="2" t="inlineStr">
        <is>
          <t>D43: =(C41*C42)*VLOOKUP(C43,F17:H25,3) | F43: =(C41*C42)*VLOOKUP(C43,F17:H25,3)</t>
        </is>
      </c>
      <c r="F21" s="2" t="inlineStr">
        <is>
          <t>D43: 16386.3 | F43: 16386.3</t>
        </is>
      </c>
    </row>
    <row r="22">
      <c r="A22" s="2" t="inlineStr">
        <is>
          <t>Hoja3</t>
        </is>
      </c>
      <c r="B22" s="2" t="inlineStr">
        <is>
          <t>PRESUPUESTO VENTANA CON BRAZO EXT.</t>
        </is>
      </c>
      <c r="C22" s="3" t="n">
        <v>44</v>
      </c>
      <c r="D22" s="2" t="inlineStr">
        <is>
          <t>FELPA:</t>
        </is>
      </c>
      <c r="E22" s="2" t="inlineStr">
        <is>
          <t>D44: =((C41*2)+(C42*2))*(1+0.1)*G10 | F44: =((C41*2)+(C42*2))*(1+0.1)*H10</t>
        </is>
      </c>
      <c r="F22" s="2" t="inlineStr">
        <is>
          <t>D44: 1506.56 | F44: 1506.56</t>
        </is>
      </c>
    </row>
    <row r="23">
      <c r="A23" s="2" t="inlineStr">
        <is>
          <t>Hoja3</t>
        </is>
      </c>
      <c r="B23" s="2" t="inlineStr">
        <is>
          <t>PRESUPUESTO VENTANA CON BRAZO EXT.</t>
        </is>
      </c>
      <c r="C23" s="3" t="n">
        <v>45</v>
      </c>
      <c r="D23" s="2" t="inlineStr">
        <is>
          <t>MANILLA CANT: 1</t>
        </is>
      </c>
      <c r="E23" s="2" t="inlineStr">
        <is>
          <t>D45: =C45*G11 | F45: =C45*H11</t>
        </is>
      </c>
      <c r="F23" s="2" t="inlineStr">
        <is>
          <t>D45: 2630 | F45: 2880</t>
        </is>
      </c>
    </row>
    <row r="24">
      <c r="A24" s="2" t="inlineStr">
        <is>
          <t>Hoja3</t>
        </is>
      </c>
      <c r="B24" s="2" t="inlineStr">
        <is>
          <t>PRESUPUESTO VENTANA CON BRAZO EXT.</t>
        </is>
      </c>
      <c r="C24" s="3" t="n">
        <v>46</v>
      </c>
      <c r="D24" s="2" t="inlineStr">
        <is>
          <t>M.OBRA:</t>
        </is>
      </c>
      <c r="E24" s="2" t="inlineStr">
        <is>
          <t>D46: =VLOOKUP(C39,$A$22:$D$23,4) | F46: =D46</t>
        </is>
      </c>
      <c r="F24" s="2" t="inlineStr">
        <is>
          <t>D46: 27500 | F46: 27500</t>
        </is>
      </c>
    </row>
    <row r="25">
      <c r="A25" s="2" t="inlineStr">
        <is>
          <t>Hoja3</t>
        </is>
      </c>
      <c r="B25" s="2" t="inlineStr">
        <is>
          <t>PRESUPUESTO VENTANA CON BRAZO EXT.</t>
        </is>
      </c>
      <c r="C25" s="3" t="n">
        <v>47</v>
      </c>
      <c r="D25" s="2" t="inlineStr">
        <is>
          <t>ALTO FIJO 3204 0.95</t>
        </is>
      </c>
      <c r="E25" s="2" t="inlineStr">
        <is>
          <t>D47: =IF(C39=2,(C42*2+C47*2)*C15/6,0) | F47: =IF(C39=2,(C42*2+C47*2)*D15/6,0)</t>
        </is>
      </c>
      <c r="F25" s="2" t="inlineStr">
        <is>
          <t>D47: 9596.16 | F47: 10363.8528</t>
        </is>
      </c>
    </row>
    <row r="26">
      <c r="A26" s="2" t="inlineStr">
        <is>
          <t>Hoja3</t>
        </is>
      </c>
      <c r="B26" s="2" t="inlineStr">
        <is>
          <t>PRESUPUESTO VENTANA CON BRAZO EXT.</t>
        </is>
      </c>
      <c r="C26" s="3" t="n">
        <v>48</v>
      </c>
      <c r="D26" s="2" t="inlineStr">
        <is>
          <t>TUBO: MEDIDA: 0</t>
        </is>
      </c>
      <c r="E26" s="2" t="inlineStr">
        <is>
          <t>D48: =C48*(C14/6) | F48: =C48*(D14/6)</t>
        </is>
      </c>
      <c r="F26" s="2" t="inlineStr">
        <is>
          <t>D48: 0 | F48: 0</t>
        </is>
      </c>
    </row>
    <row r="27">
      <c r="A27" s="2" t="inlineStr">
        <is>
          <t>Hoja3</t>
        </is>
      </c>
      <c r="B27" s="2" t="inlineStr">
        <is>
          <t>PRESUPUESTO VENTANA CON BRAZO EXT.</t>
        </is>
      </c>
      <c r="C27" s="3" t="n">
        <v>49</v>
      </c>
      <c r="D27" s="2" t="inlineStr">
        <is>
          <t>BR.EXT: CANTIDAD: 2</t>
        </is>
      </c>
      <c r="E27" s="2" t="inlineStr">
        <is>
          <t>D49: =C49*G12 | F49: =C49*H12</t>
        </is>
      </c>
      <c r="F27" s="2" t="inlineStr">
        <is>
          <t>D49: 11400 | F49: 11400</t>
        </is>
      </c>
    </row>
    <row r="28">
      <c r="A28" s="2" t="inlineStr">
        <is>
          <t>Hoja3</t>
        </is>
      </c>
      <c r="B28" s="2" t="inlineStr">
        <is>
          <t>PRESUPUESTO VENTANA CON BRAZO EXT.</t>
        </is>
      </c>
      <c r="C28" s="3" t="n">
        <v>50</v>
      </c>
      <c r="D28" s="2" t="inlineStr">
        <is>
          <t>A.AMARRE CANTIDAD: 8</t>
        </is>
      </c>
      <c r="E28" s="2" t="inlineStr">
        <is>
          <t>D50: =C50*C13 | F50: =C50*D13</t>
        </is>
      </c>
      <c r="F28" s="2" t="inlineStr">
        <is>
          <t>D50: 4000 | F50: 4000</t>
        </is>
      </c>
    </row>
    <row r="29">
      <c r="A29" s="2" t="inlineStr">
        <is>
          <t>Hoja3</t>
        </is>
      </c>
      <c r="B29" s="2" t="inlineStr">
        <is>
          <t>PRESUPUESTO VENTANA CON BRAZO EXT.</t>
        </is>
      </c>
      <c r="C29" s="3" t="n">
        <v>51</v>
      </c>
      <c r="D29" s="2" t="inlineStr">
        <is>
          <t>T.T.R.S:</t>
        </is>
      </c>
      <c r="E29" s="2" t="inlineStr">
        <is>
          <t>D51: =C18 | F51: =C18</t>
        </is>
      </c>
      <c r="F29" s="2" t="inlineStr">
        <is>
          <t>D51: 2000 | F51: 2000</t>
        </is>
      </c>
    </row>
    <row r="30">
      <c r="A30" s="2" t="inlineStr">
        <is>
          <t>Hoja3</t>
        </is>
      </c>
      <c r="B30" s="2" t="inlineStr">
        <is>
          <t>PRESUPUESTO VENTANA CON BRAZO EXT.</t>
        </is>
      </c>
      <c r="C30" s="3" t="n">
        <v>52</v>
      </c>
      <c r="D30" s="2" t="inlineStr">
        <is>
          <t>JUNQUILLO</t>
        </is>
      </c>
      <c r="E30" s="2" t="inlineStr">
        <is>
          <t>D52: =((C41*2)+(C42*2))*C12/6 | F52: =((C41*2)+(C42*2))*D12/6</t>
        </is>
      </c>
      <c r="F30" s="2" t="inlineStr">
        <is>
          <t>D52: 4583.88 | F52: 4950.5904</t>
        </is>
      </c>
    </row>
    <row r="31">
      <c r="A31" s="2" t="inlineStr">
        <is>
          <t>Hoja3</t>
        </is>
      </c>
      <c r="B31" s="2" t="inlineStr">
        <is>
          <t>PRESUPUESTO VENTANA CON BRAZO EXT.</t>
        </is>
      </c>
      <c r="C31" s="3" t="n">
        <v>53</v>
      </c>
      <c r="D31" s="2" t="inlineStr"/>
      <c r="E31" s="2" t="inlineStr">
        <is>
          <t>D53: =SUM(D41:D52) | F53: =SUM(F41:F52)</t>
        </is>
      </c>
      <c r="F31" s="2" t="inlineStr">
        <is>
          <t>D53: 107870.16 | F53: 111515.944</t>
        </is>
      </c>
    </row>
    <row r="32">
      <c r="A32" s="2" t="inlineStr">
        <is>
          <t>Hoja3</t>
        </is>
      </c>
      <c r="B32" s="2" t="inlineStr">
        <is>
          <t>PRESUPUESTO VENTANA CON BRAZO EXT.</t>
        </is>
      </c>
      <c r="C32" s="3" t="n">
        <v>54</v>
      </c>
      <c r="D32" s="2" t="inlineStr">
        <is>
          <t>TOTAL:</t>
        </is>
      </c>
      <c r="E32" s="2" t="inlineStr">
        <is>
          <t>D54: =CEILING(((+D53*15)/100)+D53,1000) | F54: =CEILING(((+F53*15)/100)+F53,1000)</t>
        </is>
      </c>
      <c r="F32" s="2" t="inlineStr">
        <is>
          <t>D54: 125000 | F54: 129000</t>
        </is>
      </c>
    </row>
    <row r="33">
      <c r="A33" s="2" t="inlineStr">
        <is>
          <t>Hoja3</t>
        </is>
      </c>
      <c r="B33" s="2" t="inlineStr">
        <is>
          <t>PRESUPUESTO VENTANA CON BRAZO EXT.</t>
        </is>
      </c>
      <c r="C33" s="3" t="n">
        <v>57</v>
      </c>
      <c r="D33" s="2" t="inlineStr"/>
      <c r="E33" s="2" t="inlineStr">
        <is>
          <t>F57: =CEILING(D54*8%+D54,1000)</t>
        </is>
      </c>
      <c r="F33" s="2" t="inlineStr">
        <is>
          <t>F57: 135000</t>
        </is>
      </c>
    </row>
    <row r="34">
      <c r="A34" s="2" t="inlineStr">
        <is>
          <t>Hoja3</t>
        </is>
      </c>
      <c r="B34" s="2" t="inlineStr">
        <is>
          <t>PRESUPUESTO VENTANA CON BRAZO EXT.</t>
        </is>
      </c>
      <c r="C34" s="3" t="n">
        <v>60</v>
      </c>
      <c r="D34" s="2" t="inlineStr"/>
      <c r="E34" s="2" t="inlineStr">
        <is>
          <t>D60: =CEILING(F54*30%+D54,1000) | F60: =CEILING(F57*10%+F57,1000)</t>
        </is>
      </c>
      <c r="F34" s="2" t="inlineStr">
        <is>
          <t>D60: 164000 | F60: 149000</t>
        </is>
      </c>
    </row>
    <row r="35">
      <c r="A35" s="2" t="inlineStr">
        <is>
          <t>Hoja4</t>
        </is>
      </c>
      <c r="B35" s="2" t="inlineStr">
        <is>
          <t>PRESUPUESTO CENTROS DE PUERTA</t>
        </is>
      </c>
      <c r="C35" s="3" t="n">
        <v>46</v>
      </c>
      <c r="D35" s="2" t="inlineStr">
        <is>
          <t>C.P.7095 0</t>
        </is>
      </c>
      <c r="E35" s="2" t="inlineStr">
        <is>
          <t>D46: =2*C46*(C10/6) | G46: =2*C46*(D10/6)</t>
        </is>
      </c>
      <c r="F35" s="2" t="inlineStr">
        <is>
          <t>D46: 0 | G46: 0</t>
        </is>
      </c>
    </row>
    <row r="36">
      <c r="A36" s="2" t="inlineStr">
        <is>
          <t>Hoja4</t>
        </is>
      </c>
      <c r="B36" s="2" t="inlineStr">
        <is>
          <t>PRESUPUESTO CENTROS DE PUERTA</t>
        </is>
      </c>
      <c r="C36" s="3" t="n">
        <v>47</v>
      </c>
      <c r="D36" s="2" t="inlineStr">
        <is>
          <t>0</t>
        </is>
      </c>
      <c r="E36" s="2" t="inlineStr">
        <is>
          <t>D47: =C47*(C10/6) | G47: =C47*(D10/6)</t>
        </is>
      </c>
      <c r="F36" s="2" t="inlineStr">
        <is>
          <t>D47: 0 | G47: 0</t>
        </is>
      </c>
    </row>
    <row r="37">
      <c r="A37" s="2" t="inlineStr">
        <is>
          <t>Hoja4</t>
        </is>
      </c>
      <c r="B37" s="2" t="inlineStr">
        <is>
          <t>PRESUPUESTO CENTROS DE PUERTA</t>
        </is>
      </c>
      <c r="C37" s="3" t="n">
        <v>48</v>
      </c>
      <c r="D37" s="2" t="inlineStr">
        <is>
          <t>C.P.5034 ALTO: 2.5</t>
        </is>
      </c>
      <c r="E37" s="2" t="inlineStr">
        <is>
          <t>D48: =2*C48*(C11/6) | G48: =2*C48*(D11/6)</t>
        </is>
      </c>
      <c r="F37" s="2" t="inlineStr">
        <is>
          <t>D48: 20666.6667 | G48: 21741.6667</t>
        </is>
      </c>
    </row>
    <row r="38">
      <c r="A38" s="2" t="inlineStr">
        <is>
          <t>Hoja4</t>
        </is>
      </c>
      <c r="B38" s="2" t="inlineStr">
        <is>
          <t>PRESUPUESTO CENTROS DE PUERTA</t>
        </is>
      </c>
      <c r="C38" s="3" t="n">
        <v>49</v>
      </c>
      <c r="D38" s="2" t="inlineStr">
        <is>
          <t>ANCHO: 0.9</t>
        </is>
      </c>
      <c r="E38" s="2" t="inlineStr">
        <is>
          <t>D49: =C49*(C11/6) | G49: =C49*(D11/6)</t>
        </is>
      </c>
      <c r="F38" s="2" t="inlineStr">
        <is>
          <t>D49: 3720 | G49: 3913.5</t>
        </is>
      </c>
    </row>
    <row r="39">
      <c r="A39" s="2" t="inlineStr">
        <is>
          <t>Hoja4</t>
        </is>
      </c>
      <c r="B39" s="2" t="inlineStr">
        <is>
          <t>PRESUPUESTO CENTROS DE PUERTA</t>
        </is>
      </c>
      <c r="C39" s="3" t="n">
        <v>50</v>
      </c>
      <c r="D39" s="2" t="inlineStr">
        <is>
          <t>BISAGRAS CANT: 3</t>
        </is>
      </c>
      <c r="E39" s="2" t="inlineStr">
        <is>
          <t>D50: =C50*C14 | G50: =C50*D14</t>
        </is>
      </c>
      <c r="F39" s="2" t="inlineStr">
        <is>
          <t>D50: 4350 | G50: 4590</t>
        </is>
      </c>
    </row>
    <row r="40">
      <c r="A40" s="2" t="inlineStr">
        <is>
          <t>Hoja4</t>
        </is>
      </c>
      <c r="B40" s="2" t="inlineStr">
        <is>
          <t>PRESUPUESTO CENTROS DE PUERTA</t>
        </is>
      </c>
      <c r="C40" s="3" t="n">
        <v>51</v>
      </c>
      <c r="D40" s="2" t="inlineStr">
        <is>
          <t>FIJO 7095 ALTO: 0</t>
        </is>
      </c>
      <c r="E40" s="2" t="inlineStr">
        <is>
          <t>D51: =IF(C51&gt;0,(2*C47*(C10/6))+((C51*2+C47*2)*(C12/6))+((C51*C47)*G11),0) | G51: =IF(C51&gt;0,(2*C47*(D10/6))+((C51*2+C47*2)*(D12/6))+((C51*C47)*G13),0)</t>
        </is>
      </c>
      <c r="F40" s="2" t="inlineStr">
        <is>
          <t>D51: 0 | G51: 0</t>
        </is>
      </c>
    </row>
    <row r="41">
      <c r="A41" s="2" t="inlineStr">
        <is>
          <t>Hoja4</t>
        </is>
      </c>
      <c r="B41" s="2" t="inlineStr">
        <is>
          <t>PRESUPUESTO CENTROS DE PUERTA</t>
        </is>
      </c>
      <c r="C41" s="3" t="n">
        <v>53</v>
      </c>
      <c r="D41" s="2" t="inlineStr">
        <is>
          <t>FIJO 5034 ALTO: 0.4</t>
        </is>
      </c>
      <c r="E41" s="2" t="inlineStr">
        <is>
          <t>D53: =IF(C53&gt;0,(2*C47*(C11/6))+((C53*2+C49*2)*(C12/6))+((C53*C49)*G11),0) | G53: =IF(C53&gt;0,(2*C47*(D11/6))+((C53*2+C49*2)*(D12/6))+((C53*C49)*G13),0)</t>
        </is>
      </c>
      <c r="F41" s="2" t="inlineStr">
        <is>
          <t>D53: 9109.6667 | G53: 9994.2</t>
        </is>
      </c>
    </row>
    <row r="42">
      <c r="A42" s="2" t="inlineStr">
        <is>
          <t>Hoja4</t>
        </is>
      </c>
      <c r="B42" s="2" t="inlineStr">
        <is>
          <t>PRESUPUESTO CENTROS DE PUERTA</t>
        </is>
      </c>
      <c r="C42" s="3" t="n">
        <v>55</v>
      </c>
      <c r="D42" s="2" t="inlineStr">
        <is>
          <t>FELPA</t>
        </is>
      </c>
      <c r="E42" s="2" t="inlineStr">
        <is>
          <t>D55: =IF(C46&gt;0,(((C46*2)+(C47))*C13),(((C48*2)+(C49))*C13)) | G55: =IF(C46&gt;0,(((C46*2)+(C47))*C13),(((C48*2)+(C49))*C13))</t>
        </is>
      </c>
      <c r="F42" s="2" t="inlineStr">
        <is>
          <t>D55: 826 | G55: 826</t>
        </is>
      </c>
    </row>
    <row r="43">
      <c r="A43" s="2" t="inlineStr">
        <is>
          <t>Hoja4</t>
        </is>
      </c>
      <c r="B43" s="2" t="inlineStr">
        <is>
          <t>PRESUPUESTO CENTROS DE PUERTA</t>
        </is>
      </c>
      <c r="C43" s="3" t="n">
        <v>56</v>
      </c>
      <c r="D43" s="2" t="inlineStr">
        <is>
          <t>T.T.R.S.</t>
        </is>
      </c>
      <c r="E43" s="2" t="inlineStr">
        <is>
          <t>D56: =IF(OR(C51,C53&gt;0),C22,C23) | G56: =IF(OR(C51,C53&gt;0),C22,C23)</t>
        </is>
      </c>
      <c r="F43" s="2" t="inlineStr">
        <is>
          <t>D56: 1000 | G56: 1000</t>
        </is>
      </c>
    </row>
    <row r="44">
      <c r="A44" s="2" t="inlineStr">
        <is>
          <t>Hoja4</t>
        </is>
      </c>
      <c r="B44" s="2" t="inlineStr">
        <is>
          <t>PRESUPUESTO CENTROS DE PUERTA</t>
        </is>
      </c>
      <c r="C44" s="3" t="n">
        <v>57</v>
      </c>
      <c r="D44" s="2" t="inlineStr">
        <is>
          <t>M.O.</t>
        </is>
      </c>
      <c r="E44" s="2" t="inlineStr">
        <is>
          <t>D57: =IF(OR(C51,C53&gt;0),C19,C20) | G57: =IF(OR(C51,C53&gt;0),C19,C20)</t>
        </is>
      </c>
      <c r="F44" s="2" t="inlineStr">
        <is>
          <t>D57: 11000 | G57: 11000</t>
        </is>
      </c>
    </row>
    <row r="45">
      <c r="A45" s="2" t="inlineStr">
        <is>
          <t>Hoja4</t>
        </is>
      </c>
      <c r="B45" s="2" t="inlineStr">
        <is>
          <t>PRESUPUESTO CENTROS DE PUERTA</t>
        </is>
      </c>
      <c r="C45" s="3" t="n">
        <v>58</v>
      </c>
      <c r="D45" s="2" t="inlineStr"/>
      <c r="E45" s="2" t="inlineStr">
        <is>
          <t>D58: =SUM(D46:D57) | G58: =SUM(G46:G57)</t>
        </is>
      </c>
      <c r="F45" s="2" t="inlineStr">
        <is>
          <t>D58: 50672.3333 | G58: 53065.3667</t>
        </is>
      </c>
    </row>
    <row r="46">
      <c r="A46" s="2" t="inlineStr">
        <is>
          <t>Hoja4</t>
        </is>
      </c>
      <c r="B46" s="2" t="inlineStr">
        <is>
          <t>PRESUPUESTO CENTROS DE PUERTA</t>
        </is>
      </c>
      <c r="C46" s="3" t="n">
        <v>59</v>
      </c>
      <c r="D46" s="2" t="inlineStr">
        <is>
          <t>TOTAL:</t>
        </is>
      </c>
      <c r="E46" s="2" t="inlineStr">
        <is>
          <t>D59: =CEILING(((+D58*30)/100)+D58,1000) | G59: =CEILING(((+G58*30)/100)+G58,1000)</t>
        </is>
      </c>
      <c r="F46" s="2" t="inlineStr">
        <is>
          <t>D59: 66000 | G59: 69000</t>
        </is>
      </c>
    </row>
    <row r="47">
      <c r="A47" s="2" t="inlineStr">
        <is>
          <t>Hoja4</t>
        </is>
      </c>
      <c r="B47" s="2" t="inlineStr">
        <is>
          <t>PRESUPUESTO CENTROS DE PUERTA</t>
        </is>
      </c>
      <c r="C47" s="3" t="n">
        <v>62</v>
      </c>
      <c r="D47" s="2" t="inlineStr"/>
      <c r="E47" s="2" t="inlineStr">
        <is>
          <t>G62: =CEILING(G59*10%+G59,1000)</t>
        </is>
      </c>
      <c r="F47" s="2" t="inlineStr">
        <is>
          <t>G62: 76000</t>
        </is>
      </c>
    </row>
    <row r="48">
      <c r="A48" s="2" t="inlineStr">
        <is>
          <t>Hoja4</t>
        </is>
      </c>
      <c r="B48" s="2" t="inlineStr">
        <is>
          <t>PRESUPUESTO CENTROS DE PUERTA</t>
        </is>
      </c>
      <c r="C48" s="3" t="n">
        <v>65</v>
      </c>
      <c r="D48" s="2" t="inlineStr"/>
      <c r="E48" s="2" t="inlineStr">
        <is>
          <t>D65: =CEILING(G65*15%+G65,1000) | G65: =CEILING(G62*10%+G62,1000)</t>
        </is>
      </c>
      <c r="F48" s="2" t="inlineStr">
        <is>
          <t>D65: 97000 | G65: 84000</t>
        </is>
      </c>
    </row>
    <row r="49">
      <c r="A49" s="2" t="inlineStr">
        <is>
          <t>Hoja5</t>
        </is>
      </c>
      <c r="B49" s="2" t="inlineStr">
        <is>
          <t>PRESUPUESTO CENTROS DE PUERTA</t>
        </is>
      </c>
      <c r="C49" s="3" t="n">
        <v>46</v>
      </c>
      <c r="D49" s="2" t="inlineStr">
        <is>
          <t>C.P.30x60 ALTO: 2</t>
        </is>
      </c>
      <c r="E49" s="2" t="inlineStr">
        <is>
          <t>D46: =2*C46*(C10/6) | G46: =2*C46*(D10/6)</t>
        </is>
      </c>
      <c r="F49" s="2" t="inlineStr">
        <is>
          <t>D46: 11423.3333 | G46: 13400</t>
        </is>
      </c>
    </row>
    <row r="50">
      <c r="A50" s="2" t="inlineStr">
        <is>
          <t>Hoja5</t>
        </is>
      </c>
      <c r="B50" s="2" t="inlineStr">
        <is>
          <t>PRESUPUESTO CENTROS DE PUERTA</t>
        </is>
      </c>
      <c r="C50" s="3" t="n">
        <v>47</v>
      </c>
      <c r="D50" s="2" t="inlineStr">
        <is>
          <t>ANCHO: 0.8</t>
        </is>
      </c>
      <c r="E50" s="2" t="inlineStr">
        <is>
          <t>D47: =C47*(C10/6) | G47: =C47*(D10/6)</t>
        </is>
      </c>
      <c r="F50" s="2" t="inlineStr">
        <is>
          <t>D47: 2284.6667 | G47: 2680</t>
        </is>
      </c>
    </row>
    <row r="51">
      <c r="A51" s="2" t="inlineStr">
        <is>
          <t>Hoja5</t>
        </is>
      </c>
      <c r="B51" s="2" t="inlineStr">
        <is>
          <t>PRESUPUESTO CENTROS DE PUERTA</t>
        </is>
      </c>
      <c r="C51" s="3" t="n">
        <v>48</v>
      </c>
      <c r="D51" s="2" t="inlineStr">
        <is>
          <t>C.P.40x80 ALTO: 0</t>
        </is>
      </c>
      <c r="E51" s="2" t="inlineStr">
        <is>
          <t>D48: =2*C48*(C11/6) | G48: =2*C48*(D11/6)</t>
        </is>
      </c>
      <c r="F51" s="2" t="inlineStr">
        <is>
          <t>D48: 0 | G48: 0</t>
        </is>
      </c>
    </row>
    <row r="52">
      <c r="A52" s="2" t="inlineStr">
        <is>
          <t>Hoja5</t>
        </is>
      </c>
      <c r="B52" s="2" t="inlineStr">
        <is>
          <t>PRESUPUESTO CENTROS DE PUERTA</t>
        </is>
      </c>
      <c r="C52" s="3" t="n">
        <v>49</v>
      </c>
      <c r="D52" s="2" t="inlineStr">
        <is>
          <t>ANCHO: 0</t>
        </is>
      </c>
      <c r="E52" s="2" t="inlineStr">
        <is>
          <t>D49: =C49*(C11/6) | G49: =C49*(D11/6)</t>
        </is>
      </c>
      <c r="F52" s="2" t="inlineStr">
        <is>
          <t>D49: 0 | G49: 0</t>
        </is>
      </c>
    </row>
    <row r="53">
      <c r="A53" s="2" t="inlineStr">
        <is>
          <t>Hoja5</t>
        </is>
      </c>
      <c r="B53" s="2" t="inlineStr">
        <is>
          <t>PRESUPUESTO CENTROS DE PUERTA</t>
        </is>
      </c>
      <c r="C53" s="3" t="n">
        <v>50</v>
      </c>
      <c r="D53" s="2" t="inlineStr">
        <is>
          <t>QUICIO RE CANT: 2</t>
        </is>
      </c>
      <c r="E53" s="2" t="inlineStr">
        <is>
          <t>D50: =C50*C14 | G50: =C50*D14</t>
        </is>
      </c>
      <c r="F53" s="2" t="inlineStr">
        <is>
          <t>D50: 54000 | G50: 54000</t>
        </is>
      </c>
    </row>
    <row r="54">
      <c r="A54" s="2" t="inlineStr">
        <is>
          <t>Hoja5</t>
        </is>
      </c>
      <c r="B54" s="2" t="inlineStr">
        <is>
          <t>PRESUPUESTO CENTROS DE PUERTA</t>
        </is>
      </c>
      <c r="C54" s="3" t="n">
        <v>51</v>
      </c>
      <c r="D54" s="2" t="inlineStr">
        <is>
          <t>FIJO 30x60 ALTO: 0</t>
        </is>
      </c>
      <c r="E54" s="2" t="inlineStr">
        <is>
          <t>D51: =IF(C51&gt;0,(2*C47*(C10/6))+((C51*2+C47*2)*(C12/6))+((C51*C47)*G11),0) | G51: =D51</t>
        </is>
      </c>
      <c r="F54" s="2" t="inlineStr">
        <is>
          <t>D51: 0 | G51: 0</t>
        </is>
      </c>
    </row>
    <row r="55">
      <c r="A55" s="2" t="inlineStr">
        <is>
          <t>Hoja5</t>
        </is>
      </c>
      <c r="B55" s="2" t="inlineStr">
        <is>
          <t>PRESUPUESTO CENTROS DE PUERTA</t>
        </is>
      </c>
      <c r="C55" s="3" t="n">
        <v>53</v>
      </c>
      <c r="D55" s="2" t="inlineStr">
        <is>
          <t>FIJO 40x80 ALTO: 0</t>
        </is>
      </c>
      <c r="E55" s="2" t="inlineStr">
        <is>
          <t>D53: =IF(C53&gt;0,(2*C47*(C11/6))+((C53*2+C49*2)*(C12/6))+((C53*C49)*G11),0) | G53: =IF(C53&gt;0,(2*C47*(D11/6))+((C53*2+C49*2)*(D12/6))+((C53*C49)*G11),0)</t>
        </is>
      </c>
      <c r="F55" s="2" t="inlineStr">
        <is>
          <t>D53: 0 | G53: 0</t>
        </is>
      </c>
    </row>
    <row r="56">
      <c r="A56" s="2" t="inlineStr">
        <is>
          <t>Hoja5</t>
        </is>
      </c>
      <c r="B56" s="2" t="inlineStr">
        <is>
          <t>PRESUPUESTO CENTROS DE PUERTA</t>
        </is>
      </c>
      <c r="C56" s="3" t="n">
        <v>56</v>
      </c>
      <c r="D56" s="2" t="inlineStr">
        <is>
          <t>T.T.R.S.</t>
        </is>
      </c>
      <c r="E56" s="2" t="inlineStr">
        <is>
          <t>D56: =IF(OR(C51,C53&gt;0),C22,C23) | G56: =IF(OR(C51,C53&gt;0),C22,C23)</t>
        </is>
      </c>
      <c r="F56" s="2" t="inlineStr">
        <is>
          <t>D56: 1500 | G56: 1500</t>
        </is>
      </c>
    </row>
    <row r="57">
      <c r="A57" s="2" t="inlineStr">
        <is>
          <t>Hoja5</t>
        </is>
      </c>
      <c r="B57" s="2" t="inlineStr">
        <is>
          <t>PRESUPUESTO CENTROS DE PUERTA</t>
        </is>
      </c>
      <c r="C57" s="3" t="n">
        <v>57</v>
      </c>
      <c r="D57" s="2" t="inlineStr">
        <is>
          <t>M.O.</t>
        </is>
      </c>
      <c r="E57" s="2" t="inlineStr">
        <is>
          <t>D57: =IF(OR(C51,C53&gt;0),C19,C20) | G57: =IF(OR(C51,C53&gt;0),C19,C20)</t>
        </is>
      </c>
      <c r="F57" s="2" t="inlineStr">
        <is>
          <t>D57: 9460 | G57: 9460</t>
        </is>
      </c>
    </row>
    <row r="58">
      <c r="A58" s="2" t="inlineStr">
        <is>
          <t>Hoja5</t>
        </is>
      </c>
      <c r="B58" s="2" t="inlineStr">
        <is>
          <t>PRESUPUESTO CENTROS DE PUERTA</t>
        </is>
      </c>
      <c r="C58" s="3" t="n">
        <v>58</v>
      </c>
      <c r="D58" s="2" t="inlineStr"/>
      <c r="E58" s="2" t="inlineStr">
        <is>
          <t>D58: =SUM(D46:D57) | G58: =SUM(G46:G57)</t>
        </is>
      </c>
      <c r="F58" s="2" t="inlineStr">
        <is>
          <t>D58: 78668 | G58: 81040</t>
        </is>
      </c>
    </row>
    <row r="59">
      <c r="A59" s="2" t="inlineStr">
        <is>
          <t>Hoja5</t>
        </is>
      </c>
      <c r="B59" s="2" t="inlineStr">
        <is>
          <t>PRESUPUESTO CENTROS DE PUERTA</t>
        </is>
      </c>
      <c r="C59" s="3" t="n">
        <v>59</v>
      </c>
      <c r="D59" s="2" t="inlineStr">
        <is>
          <t>TOTAL:</t>
        </is>
      </c>
      <c r="E59" s="2" t="inlineStr">
        <is>
          <t>D59: =CEILING(((+D58*20)/100)+D58,1000) | G59: =CEILING(((+G58*30)/100)+G58,1000)</t>
        </is>
      </c>
      <c r="F59" s="2" t="inlineStr">
        <is>
          <t>D59: 95000 | G59: 106000</t>
        </is>
      </c>
    </row>
    <row r="60">
      <c r="A60" s="2" t="inlineStr">
        <is>
          <t>Hoja5</t>
        </is>
      </c>
      <c r="B60" s="2" t="inlineStr">
        <is>
          <t>PRESUPUESTO CENTROS DE PUERTA</t>
        </is>
      </c>
      <c r="C60" s="3" t="n">
        <v>62</v>
      </c>
      <c r="D60" s="2" t="inlineStr"/>
      <c r="E60" s="2" t="inlineStr">
        <is>
          <t>G62: =CEILING(G59*10%+G59,1000)</t>
        </is>
      </c>
      <c r="F60" s="2" t="inlineStr">
        <is>
          <t>G62: 117000</t>
        </is>
      </c>
    </row>
    <row r="61">
      <c r="A61" s="2" t="inlineStr">
        <is>
          <t>Hoja5</t>
        </is>
      </c>
      <c r="B61" s="2" t="inlineStr">
        <is>
          <t>PRESUPUESTO CENTROS DE PUERTA</t>
        </is>
      </c>
      <c r="C61" s="3" t="n">
        <v>65</v>
      </c>
      <c r="D61" s="2" t="inlineStr"/>
      <c r="E61" s="2" t="inlineStr">
        <is>
          <t>G65: =CEILING(G62*10%+G62,1000)</t>
        </is>
      </c>
      <c r="F61" s="2" t="inlineStr">
        <is>
          <t>G65: 129000</t>
        </is>
      </c>
    </row>
    <row r="62">
      <c r="A62" s="2" t="inlineStr">
        <is>
          <t>Hoja6</t>
        </is>
      </c>
      <c r="B62" s="2" t="inlineStr">
        <is>
          <t>PRESUPUESTOS PUERTAS TUBO 40x40 Y 40x100</t>
        </is>
      </c>
      <c r="C62" s="3" t="n">
        <v>46</v>
      </c>
      <c r="D62" s="2" t="inlineStr">
        <is>
          <t>ALTO: 1.5</t>
        </is>
      </c>
      <c r="E62" s="2" t="inlineStr">
        <is>
          <t>D46: =2*(C46*((C12/6)+(C15/6)+(C16/6))) | G46: =2*(C46*((D12/6)+(D15/6)+(D16/6)))</t>
        </is>
      </c>
      <c r="F62" s="2" t="inlineStr">
        <is>
          <t>D46: 23004 | G46: 24995.0</t>
        </is>
      </c>
    </row>
    <row r="63">
      <c r="A63" s="2" t="inlineStr">
        <is>
          <t>Hoja6</t>
        </is>
      </c>
      <c r="B63" s="2" t="inlineStr">
        <is>
          <t>PRESUPUESTOS PUERTAS TUBO 40x40 Y 40x100</t>
        </is>
      </c>
      <c r="C63" s="3" t="n">
        <v>47</v>
      </c>
      <c r="D63" s="2" t="inlineStr">
        <is>
          <t>ANCHO: 0.8</t>
        </is>
      </c>
      <c r="E63" s="2" t="inlineStr">
        <is>
          <t>D47: =C47*(C12/6+C15/6+C16/6)+(2*(C47*C11/6))+(3*(C47*(C15/6+C16/6))) | G47: =C47*(D12/6+D15/6+D16/6)+(2*(C47*D11/6))+(3*(C47*(D15/6+D16/6)))</t>
        </is>
      </c>
      <c r="F63" s="2" t="inlineStr">
        <is>
          <t>D47: 22500.2667 | G47: 24458.6667</t>
        </is>
      </c>
    </row>
    <row r="64">
      <c r="A64" s="2" t="inlineStr">
        <is>
          <t>Hoja6</t>
        </is>
      </c>
      <c r="B64" s="2" t="inlineStr">
        <is>
          <t>PRESUPUESTOS PUERTAS TUBO 40x40 Y 40x100</t>
        </is>
      </c>
      <c r="C64" s="3" t="n">
        <v>48</v>
      </c>
      <c r="D64" s="2" t="inlineStr">
        <is>
          <t>CHAPA:</t>
        </is>
      </c>
      <c r="E64" s="2" t="inlineStr">
        <is>
          <t>D48: =C21 | G48: =C21</t>
        </is>
      </c>
      <c r="F64" s="2" t="inlineStr">
        <is>
          <t>D48: 40000 | G48: 40000</t>
        </is>
      </c>
    </row>
    <row r="65">
      <c r="A65" s="2" t="inlineStr">
        <is>
          <t>Hoja6</t>
        </is>
      </c>
      <c r="B65" s="2" t="inlineStr">
        <is>
          <t>PRESUPUESTOS PUERTAS TUBO 40x40 Y 40x100</t>
        </is>
      </c>
      <c r="C65" s="3" t="n">
        <v>49</v>
      </c>
      <c r="D65" s="2" t="inlineStr">
        <is>
          <t>T.R.L.S.</t>
        </is>
      </c>
      <c r="E65" s="2" t="inlineStr">
        <is>
          <t>D49: =C20+(10*(0.04*C17/6)) | G49: =C20+(10*(0.04*C17/6))</t>
        </is>
      </c>
      <c r="F65" s="2" t="inlineStr">
        <is>
          <t>D49: 3856 | G49: 3856</t>
        </is>
      </c>
    </row>
    <row r="66">
      <c r="A66" s="2" t="inlineStr">
        <is>
          <t>Hoja6</t>
        </is>
      </c>
      <c r="B66" s="2" t="inlineStr">
        <is>
          <t>PRESUPUESTOS PUERTAS TUBO 40x40 Y 40x100</t>
        </is>
      </c>
      <c r="C66" s="3" t="n">
        <v>50</v>
      </c>
      <c r="D66" s="2" t="inlineStr">
        <is>
          <t>VIDRIO 3</t>
        </is>
      </c>
      <c r="E66" s="2" t="inlineStr">
        <is>
          <t>D50: =IF(AND(C51=0,C52=0),(C46*C47)*(VLOOKUP(C50,E10:G18,3)),((C46/2*C47)*(VLOOKUP(C50,E10:G18,3)))) | G50: =IF(AND(C51=0,C52=0),(C46*C47)*(VLOOKUP(C50,E10:G18,3)),((C46/2*C47)*(VLOOKUP(C50,E10:G18,3))))</t>
        </is>
      </c>
      <c r="F66" s="2" t="inlineStr">
        <is>
          <t>D50: 31800.0 | G50: 31800.0</t>
        </is>
      </c>
    </row>
    <row r="67">
      <c r="A67" s="2" t="inlineStr">
        <is>
          <t>Hoja6</t>
        </is>
      </c>
      <c r="B67" s="2" t="inlineStr">
        <is>
          <t>PRESUPUESTOS PUERTAS TUBO 40x40 Y 40x100</t>
        </is>
      </c>
      <c r="C67" s="3" t="n">
        <v>51</v>
      </c>
      <c r="D67" s="2" t="inlineStr">
        <is>
          <t>PLACA ALTO: 0</t>
        </is>
      </c>
      <c r="E67" s="2" t="inlineStr">
        <is>
          <t>D51: =IF(C51&gt;0,((C51*C47)*C25)+((C47/6)*C12),"0") | G51: =IF(C51&gt;0,((C51*C47)*D25)+((C47/6)*D12),"0")</t>
        </is>
      </c>
      <c r="F67" s="2" t="inlineStr">
        <is>
          <t>D51: 0 | G51: 0</t>
        </is>
      </c>
    </row>
    <row r="68">
      <c r="A68" s="2" t="inlineStr">
        <is>
          <t>Hoja6</t>
        </is>
      </c>
      <c r="B68" s="2" t="inlineStr">
        <is>
          <t>PRESUPUESTOS PUERTAS TUBO 40x40 Y 40x100</t>
        </is>
      </c>
      <c r="C68" s="3" t="n">
        <v>52</v>
      </c>
      <c r="D68" s="2" t="inlineStr">
        <is>
          <t>MAS/FOR ALTO: 0</t>
        </is>
      </c>
      <c r="E68" s="2" t="inlineStr">
        <is>
          <t>D52: =IF(C52&gt;0,((C52*C47)*C24)+((C47/6)*C12),"0") | G52: =IF(C52&gt;0,((C52*C47)*C24)+((C47/6)*D12),"0")</t>
        </is>
      </c>
      <c r="F68" s="2" t="inlineStr">
        <is>
          <t>D52: 0 | G52: 0</t>
        </is>
      </c>
    </row>
    <row r="69">
      <c r="A69" s="2" t="inlineStr">
        <is>
          <t>Hoja6</t>
        </is>
      </c>
      <c r="B69" s="2" t="inlineStr">
        <is>
          <t>PRESUPUESTOS PUERTAS TUBO 40x40 Y 40x100</t>
        </is>
      </c>
      <c r="C69" s="3" t="n">
        <v>53</v>
      </c>
      <c r="D69" s="2" t="inlineStr">
        <is>
          <t>M.O.</t>
        </is>
      </c>
      <c r="E69" s="2" t="inlineStr">
        <is>
          <t>D53: =C22 | G53: =C22</t>
        </is>
      </c>
      <c r="F69" s="2" t="inlineStr">
        <is>
          <t>D53: 28600 | G53: 28600</t>
        </is>
      </c>
    </row>
    <row r="70">
      <c r="A70" s="2" t="inlineStr">
        <is>
          <t>Hoja6</t>
        </is>
      </c>
      <c r="B70" s="2" t="inlineStr">
        <is>
          <t>PRESUPUESTOS PUERTAS TUBO 40x40 Y 40x100</t>
        </is>
      </c>
      <c r="C70" s="3" t="n">
        <v>54</v>
      </c>
      <c r="D70" s="2" t="inlineStr"/>
      <c r="E70" s="2" t="inlineStr">
        <is>
          <t>D54: =SUM(D46:D53) | G54: =SUM(G46:G53)</t>
        </is>
      </c>
      <c r="F70" s="2" t="inlineStr">
        <is>
          <t>D54: 149760.2667 | G54: 153709.6667</t>
        </is>
      </c>
    </row>
    <row r="71">
      <c r="A71" s="2" t="inlineStr">
        <is>
          <t>Hoja6</t>
        </is>
      </c>
      <c r="B71" s="2" t="inlineStr">
        <is>
          <t>PRESUPUESTOS PUERTAS TUBO 40x40 Y 40x100</t>
        </is>
      </c>
      <c r="C71" s="3" t="n">
        <v>55</v>
      </c>
      <c r="D71" s="2" t="inlineStr">
        <is>
          <t>TOTAL</t>
        </is>
      </c>
      <c r="E71" s="2" t="inlineStr">
        <is>
          <t>D55: =CEILING(((+D54*20)/100)+D54,1000) | G55: =CEILING(((+G54*20)/100)+G54,1000)</t>
        </is>
      </c>
      <c r="F71" s="2" t="inlineStr">
        <is>
          <t>D55: 180000 | G55: 185000</t>
        </is>
      </c>
    </row>
    <row r="72">
      <c r="A72" s="2" t="inlineStr">
        <is>
          <t>Hoja6</t>
        </is>
      </c>
      <c r="B72" s="2" t="inlineStr">
        <is>
          <t>PRESUPUESTOS PUERTAS TUBO 40x40 Y 40x100</t>
        </is>
      </c>
      <c r="C72" s="3" t="n">
        <v>58</v>
      </c>
      <c r="D72" s="2" t="inlineStr"/>
      <c r="E72" s="2" t="inlineStr">
        <is>
          <t>G58: =CEILING(G55*10%+G55,1000)</t>
        </is>
      </c>
      <c r="F72" s="2" t="inlineStr">
        <is>
          <t>G58: 204000</t>
        </is>
      </c>
    </row>
    <row r="73">
      <c r="A73" s="2" t="inlineStr">
        <is>
          <t>Hoja6</t>
        </is>
      </c>
      <c r="B73" s="2" t="inlineStr">
        <is>
          <t>PRESUPUESTOS PUERTAS TUBO 40x40 Y 40x100</t>
        </is>
      </c>
      <c r="C73" s="3" t="n">
        <v>61</v>
      </c>
      <c r="D73" s="2" t="inlineStr"/>
      <c r="E73" s="2" t="inlineStr">
        <is>
          <t>G61: =CEILING(G58*10%+G58,1000)</t>
        </is>
      </c>
      <c r="F73" s="2" t="inlineStr">
        <is>
          <t>G61: 225000</t>
        </is>
      </c>
    </row>
    <row r="74">
      <c r="A74" s="2" t="inlineStr">
        <is>
          <t>Hoja6</t>
        </is>
      </c>
      <c r="B74" s="2" t="inlineStr">
        <is>
          <t>PRESUPUESTOS PUERTAS TUBO 40x40 Y 40x100</t>
        </is>
      </c>
      <c r="C74" s="3" t="n">
        <v>64</v>
      </c>
      <c r="D74" s="2" t="inlineStr"/>
      <c r="E74" s="2" t="inlineStr">
        <is>
          <t>G64: =CEILING(G61*15%+G61,1000)</t>
        </is>
      </c>
      <c r="F74" s="2" t="inlineStr">
        <is>
          <t>G64: 259000</t>
        </is>
      </c>
    </row>
    <row r="75">
      <c r="A75" s="2" t="inlineStr">
        <is>
          <t>Hoja7</t>
        </is>
      </c>
      <c r="B75" s="2" t="inlineStr">
        <is>
          <t>PRESUPUESTOS LINEA 5000</t>
        </is>
      </c>
      <c r="C75" s="3" t="n">
        <v>41</v>
      </c>
      <c r="D75" s="2" t="inlineStr">
        <is>
          <t>AL.HORIZ: 1.47</t>
        </is>
      </c>
      <c r="E75" s="2" t="inlineStr">
        <is>
          <t>D41: =C41*((C10+C11+C13+C14)/6) | F41: =C41*((D10+D11+D13+D14)/6)</t>
        </is>
      </c>
      <c r="F75" s="2" t="inlineStr">
        <is>
          <t>D41: 9311.225 | F41: 10920.875</t>
        </is>
      </c>
    </row>
    <row r="76">
      <c r="A76" s="2" t="inlineStr">
        <is>
          <t>Hoja7</t>
        </is>
      </c>
      <c r="B76" s="2" t="inlineStr">
        <is>
          <t>PRESUPUESTOS LINEA 5000</t>
        </is>
      </c>
      <c r="C76" s="3" t="n">
        <v>42</v>
      </c>
      <c r="D76" s="2" t="inlineStr">
        <is>
          <t>AL.VERT: 0.92</t>
        </is>
      </c>
      <c r="E76" s="2" t="inlineStr">
        <is>
          <t>D42: =2*(+C42*((C12+C15+C16)/6)) | F42: =2*(+C42*((D12+D15+D16)/6))</t>
        </is>
      </c>
      <c r="F76" s="2" t="inlineStr">
        <is>
          <t>D42: 9009.2533 | F42: 10566.8133</t>
        </is>
      </c>
    </row>
    <row r="77">
      <c r="A77" s="2" t="inlineStr">
        <is>
          <t>Hoja7</t>
        </is>
      </c>
      <c r="B77" s="2" t="inlineStr">
        <is>
          <t>PRESUPUESTOS LINEA 5000</t>
        </is>
      </c>
      <c r="C77" s="3" t="n">
        <v>43</v>
      </c>
      <c r="D77" s="2" t="inlineStr">
        <is>
          <t>VIDRIO: 2</t>
        </is>
      </c>
      <c r="E77" s="2" t="inlineStr">
        <is>
          <t>D43: =IF(C43&lt;=6,(C41*C42)*VLOOKUP(C43,F17:H23,3),0) | F43: =+D43</t>
        </is>
      </c>
      <c r="F77" s="2" t="inlineStr">
        <is>
          <t>D43: 28670.88 | F43: 28670.88</t>
        </is>
      </c>
    </row>
    <row r="78">
      <c r="A78" s="2" t="inlineStr">
        <is>
          <t>Hoja7</t>
        </is>
      </c>
      <c r="B78" s="2" t="inlineStr">
        <is>
          <t>PRESUPUESTOS LINEA 5000</t>
        </is>
      </c>
      <c r="C78" s="3" t="n">
        <v>44</v>
      </c>
      <c r="D78" s="2" t="inlineStr">
        <is>
          <t>BURLETE:</t>
        </is>
      </c>
      <c r="E78" s="2" t="inlineStr">
        <is>
          <t>D44: =((C41*2)+(C42*4))*G10 | F44: =((C41*2)+(C42*4))*H10</t>
        </is>
      </c>
      <c r="F78" s="2" t="inlineStr">
        <is>
          <t>D44: 1986 | F44: 993</t>
        </is>
      </c>
    </row>
    <row r="79">
      <c r="A79" s="2" t="inlineStr">
        <is>
          <t>Hoja7</t>
        </is>
      </c>
      <c r="B79" s="2" t="inlineStr">
        <is>
          <t>PRESUPUESTOS LINEA 5000</t>
        </is>
      </c>
      <c r="C79" s="3" t="n">
        <v>45</v>
      </c>
      <c r="D79" s="2" t="inlineStr">
        <is>
          <t>FELPA:</t>
        </is>
      </c>
      <c r="E79" s="2" t="inlineStr">
        <is>
          <t>D45: =((C41*2)+(C42*4))*(1+0.1)*G11 | F45: =((C41*2)+(C42*4))*(1+0.1)*H11</t>
        </is>
      </c>
      <c r="F79" s="2" t="inlineStr">
        <is>
          <t>D45: 946.66 | F45: 1019.48</t>
        </is>
      </c>
    </row>
    <row r="80">
      <c r="A80" s="2" t="inlineStr">
        <is>
          <t>Hoja7</t>
        </is>
      </c>
      <c r="B80" s="2" t="inlineStr">
        <is>
          <t>PRESUPUESTOS LINEA 5000</t>
        </is>
      </c>
      <c r="C80" s="3" t="n">
        <v>46</v>
      </c>
      <c r="D80" s="2" t="inlineStr">
        <is>
          <t>RODAM.: 4</t>
        </is>
      </c>
      <c r="E80" s="2" t="inlineStr">
        <is>
          <t>D46: =C46*G12 | F46: =C46*G12</t>
        </is>
      </c>
      <c r="F80" s="2" t="inlineStr">
        <is>
          <t>D46: 1400 | F46: 1400</t>
        </is>
      </c>
    </row>
    <row r="81">
      <c r="A81" s="2" t="inlineStr">
        <is>
          <t>Hoja7</t>
        </is>
      </c>
      <c r="B81" s="2" t="inlineStr">
        <is>
          <t>PRESUPUESTOS LINEA 5000</t>
        </is>
      </c>
      <c r="C81" s="3" t="n">
        <v>47</v>
      </c>
      <c r="D81" s="2" t="inlineStr">
        <is>
          <t>PESTILLOS 2</t>
        </is>
      </c>
      <c r="E81" s="2" t="inlineStr">
        <is>
          <t>D47: =C47*G13 | F47: =C47*H13</t>
        </is>
      </c>
      <c r="F81" s="2" t="inlineStr">
        <is>
          <t>D47: 2400 | F47: 2800</t>
        </is>
      </c>
    </row>
    <row r="82">
      <c r="A82" s="2" t="inlineStr">
        <is>
          <t>Hoja7</t>
        </is>
      </c>
      <c r="B82" s="2" t="inlineStr">
        <is>
          <t>PRESUPUESTOS LINEA 5000</t>
        </is>
      </c>
      <c r="C82" s="3" t="n">
        <v>48</v>
      </c>
      <c r="D82" s="2" t="inlineStr">
        <is>
          <t>M.OBRA:</t>
        </is>
      </c>
      <c r="E82" s="2" t="inlineStr">
        <is>
          <t>D48: =IF(C39=2,C22,C23) | F48: =IF(C39=2,C22,C23)</t>
        </is>
      </c>
      <c r="F82" s="2" t="inlineStr">
        <is>
          <t>D48: 18700 | F48: 18700</t>
        </is>
      </c>
    </row>
    <row r="83">
      <c r="A83" s="2" t="inlineStr">
        <is>
          <t>Hoja7</t>
        </is>
      </c>
      <c r="B83" s="2" t="inlineStr">
        <is>
          <t>PRESUPUESTOS LINEA 5000</t>
        </is>
      </c>
      <c r="C83" s="3" t="n">
        <v>49</v>
      </c>
      <c r="D83" s="2" t="inlineStr">
        <is>
          <t>PALILLO MEDIDA: 0</t>
        </is>
      </c>
      <c r="E83" s="2" t="inlineStr">
        <is>
          <t>D49: =(C49*(C17/6))+((C49*2)*G10) | F49: =(C49*(D17/6))+((C49*2)*H10)</t>
        </is>
      </c>
      <c r="F83" s="2" t="inlineStr">
        <is>
          <t>D49: 0 | F49: 0</t>
        </is>
      </c>
    </row>
    <row r="84">
      <c r="A84" s="2" t="inlineStr">
        <is>
          <t>Hoja7</t>
        </is>
      </c>
      <c r="B84" s="2" t="inlineStr">
        <is>
          <t>PRESUPUESTOS LINEA 5000</t>
        </is>
      </c>
      <c r="C84" s="3" t="n">
        <v>50</v>
      </c>
      <c r="D84" s="2" t="inlineStr">
        <is>
          <t>III HOJA:</t>
        </is>
      </c>
      <c r="E84" s="2" t="inlineStr">
        <is>
          <t>D50: =IF(C39=3,((C42*2)*(C15/6))+(C42*2)*G10,0) | F50: =IF(C39=3,((C42*2)*(D15/6))+(C42*2)*H10,0)</t>
        </is>
      </c>
      <c r="F84" s="2" t="inlineStr">
        <is>
          <t>D50: 0 | F50: 0</t>
        </is>
      </c>
    </row>
    <row r="85">
      <c r="A85" s="2" t="inlineStr">
        <is>
          <t>Hoja7</t>
        </is>
      </c>
      <c r="B85" s="2" t="inlineStr">
        <is>
          <t>PRESUPUESTOS LINEA 5000</t>
        </is>
      </c>
      <c r="C85" s="3" t="n">
        <v>51</v>
      </c>
      <c r="D85" s="2" t="inlineStr">
        <is>
          <t>TUBO: MEDIDA: 0</t>
        </is>
      </c>
      <c r="E85" s="2" t="inlineStr">
        <is>
          <t>D51: =C51*(C18/6) | F51: =C51*(C18/6)</t>
        </is>
      </c>
      <c r="F85" s="2" t="inlineStr">
        <is>
          <t>D51: 0 | F51: 0</t>
        </is>
      </c>
    </row>
    <row r="86">
      <c r="A86" s="2" t="inlineStr">
        <is>
          <t>Hoja7</t>
        </is>
      </c>
      <c r="B86" s="2" t="inlineStr">
        <is>
          <t>PRESUPUESTOS LINEA 5000</t>
        </is>
      </c>
      <c r="C86" s="3" t="n">
        <v>52</v>
      </c>
      <c r="D86" s="2" t="inlineStr"/>
      <c r="E86" s="2" t="inlineStr">
        <is>
          <t>D52: =SUM(D41:D51) | F52: =SUM(F41:F51)</t>
        </is>
      </c>
      <c r="F86" s="2" t="inlineStr">
        <is>
          <t>D52: 72424.0183 | F52: 75071.0483</t>
        </is>
      </c>
    </row>
    <row r="87">
      <c r="A87" s="2" t="inlineStr">
        <is>
          <t>Hoja7</t>
        </is>
      </c>
      <c r="B87" s="2" t="inlineStr">
        <is>
          <t>PRESUPUESTOS LINEA 5000</t>
        </is>
      </c>
      <c r="C87" s="3" t="n">
        <v>53</v>
      </c>
      <c r="D87" s="2" t="inlineStr">
        <is>
          <t>TOTAL:</t>
        </is>
      </c>
      <c r="E87" s="2" t="inlineStr">
        <is>
          <t>D53: =CEILING(((+D52*15)/100)+D52,1000) | F53: =CEILING(((+F52*25)/100)+F52,1000)</t>
        </is>
      </c>
      <c r="F87" s="2" t="inlineStr">
        <is>
          <t>D53: 84000 | F53: 94000</t>
        </is>
      </c>
    </row>
    <row r="88">
      <c r="A88" s="2" t="inlineStr">
        <is>
          <t>Hoja7</t>
        </is>
      </c>
      <c r="B88" s="2" t="inlineStr">
        <is>
          <t>PRESUPUESTOS LINEA 5000</t>
        </is>
      </c>
      <c r="C88" s="3" t="n">
        <v>56</v>
      </c>
      <c r="D88" s="2" t="inlineStr"/>
      <c r="E88" s="2" t="inlineStr">
        <is>
          <t>F56: =CEILING(F53*10%+F53,1000)</t>
        </is>
      </c>
      <c r="F88" s="2" t="inlineStr">
        <is>
          <t>F56: 104000</t>
        </is>
      </c>
    </row>
    <row r="89">
      <c r="A89" s="2" t="inlineStr">
        <is>
          <t>Hoja7</t>
        </is>
      </c>
      <c r="B89" s="2" t="inlineStr">
        <is>
          <t>PRESUPUESTOS LINEA 5000</t>
        </is>
      </c>
      <c r="C89" s="3" t="n">
        <v>59</v>
      </c>
      <c r="D89" s="2" t="inlineStr"/>
      <c r="E89" s="2" t="inlineStr">
        <is>
          <t>D59: =CEILING(F59*15%+F59,1000) | F59: =CEILING(F56*10%+F56,1000)</t>
        </is>
      </c>
      <c r="F89" s="2" t="inlineStr">
        <is>
          <t>D59: 133000 | F59: 115000</t>
        </is>
      </c>
    </row>
    <row r="90">
      <c r="A90" s="2" t="inlineStr">
        <is>
          <t>Hoja8</t>
        </is>
      </c>
      <c r="B90" s="2" t="inlineStr">
        <is>
          <t>FIJOS CON TUBULAR RECTANGULAR</t>
        </is>
      </c>
      <c r="C90" s="3" t="n">
        <v>47</v>
      </c>
      <c r="D90" s="2" t="inlineStr">
        <is>
          <t>T:30x60 ALTO: 0</t>
        </is>
      </c>
      <c r="E90" s="2" t="inlineStr">
        <is>
          <t>D47: =(2*C47)*(C10/6) | G47: =(2*C47)*(D10/6)</t>
        </is>
      </c>
      <c r="F90" s="2" t="inlineStr">
        <is>
          <t>D47: 0 | G47: 0</t>
        </is>
      </c>
    </row>
    <row r="91">
      <c r="A91" s="2" t="inlineStr">
        <is>
          <t>Hoja8</t>
        </is>
      </c>
      <c r="B91" s="2" t="inlineStr">
        <is>
          <t>FIJOS CON TUBULAR RECTANGULAR</t>
        </is>
      </c>
      <c r="C91" s="3" t="n">
        <v>48</v>
      </c>
      <c r="D91" s="2" t="inlineStr">
        <is>
          <t>ANCHO: 0</t>
        </is>
      </c>
      <c r="E91" s="2" t="inlineStr">
        <is>
          <t>D48: =(2*C48)*(C10/6) | G48: =(2*C48)*(D10/6)</t>
        </is>
      </c>
      <c r="F91" s="2" t="inlineStr">
        <is>
          <t>D48: 0 | G48: 0</t>
        </is>
      </c>
    </row>
    <row r="92">
      <c r="A92" s="2" t="inlineStr">
        <is>
          <t>Hoja8</t>
        </is>
      </c>
      <c r="B92" s="2" t="inlineStr">
        <is>
          <t>FIJOS CON TUBULAR RECTANGULAR</t>
        </is>
      </c>
      <c r="C92" s="3" t="n">
        <v>49</v>
      </c>
      <c r="D92" s="2" t="inlineStr">
        <is>
          <t>T:40x80 ALTO: 0.5</t>
        </is>
      </c>
      <c r="E92" s="2" t="inlineStr">
        <is>
          <t>D49: =(2*C49)*(C11/6) | G49: =(2*C49)*(D11/6)</t>
        </is>
      </c>
      <c r="F92" s="2" t="inlineStr">
        <is>
          <t>D49: 4247.5 | G49: 7293.3333</t>
        </is>
      </c>
    </row>
    <row r="93">
      <c r="A93" s="2" t="inlineStr">
        <is>
          <t>Hoja8</t>
        </is>
      </c>
      <c r="B93" s="2" t="inlineStr">
        <is>
          <t>FIJOS CON TUBULAR RECTANGULAR</t>
        </is>
      </c>
      <c r="C93" s="3" t="n">
        <v>50</v>
      </c>
      <c r="D93" s="2" t="inlineStr">
        <is>
          <t>ANCHO: 1.04</t>
        </is>
      </c>
      <c r="E93" s="2" t="inlineStr">
        <is>
          <t>D50: =(2*C50)*(C11/6) | G50: =(2*C50)*(D11/6)</t>
        </is>
      </c>
      <c r="F93" s="2" t="inlineStr">
        <is>
          <t>D50: 8834.8 | G50: 15170.1333</t>
        </is>
      </c>
    </row>
    <row r="94">
      <c r="A94" s="2" t="inlineStr">
        <is>
          <t>Hoja8</t>
        </is>
      </c>
      <c r="B94" s="2" t="inlineStr">
        <is>
          <t>FIJOS CON TUBULAR RECTANGULAR</t>
        </is>
      </c>
      <c r="C94" s="3" t="n">
        <v>51</v>
      </c>
      <c r="D94" s="2" t="inlineStr">
        <is>
          <t>JQ.10x10</t>
        </is>
      </c>
      <c r="E94" s="2" t="inlineStr">
        <is>
          <t>D51: =IF(C49=0,((C47*4)+(C48*4))*C12/6,0) | G51: =IF(C49=0,((C47*4)+(C48*4))*D12/6,0)</t>
        </is>
      </c>
      <c r="F94" s="2" t="inlineStr">
        <is>
          <t>D51: 0 | G51: 0</t>
        </is>
      </c>
    </row>
    <row r="95">
      <c r="A95" s="2" t="inlineStr">
        <is>
          <t>Hoja8</t>
        </is>
      </c>
      <c r="B95" s="2" t="inlineStr">
        <is>
          <t>FIJOS CON TUBULAR RECTANGULAR</t>
        </is>
      </c>
      <c r="C95" s="3" t="n">
        <v>52</v>
      </c>
      <c r="D95" s="2" t="inlineStr">
        <is>
          <t>JQ.20/12</t>
        </is>
      </c>
      <c r="E95" s="2" t="inlineStr">
        <is>
          <t>D52: =IF(C47=0,((C49*2)+(C50*2))*C13/6,0) | G52: =IF(C47=0,((C49*2)+(C50*2))*D13/6,0)</t>
        </is>
      </c>
      <c r="F95" s="2" t="inlineStr">
        <is>
          <t>D52: 2158.0533 | G52: 2531.2467</t>
        </is>
      </c>
    </row>
    <row r="96">
      <c r="A96" s="2" t="inlineStr">
        <is>
          <t>Hoja8</t>
        </is>
      </c>
      <c r="B96" s="2" t="inlineStr">
        <is>
          <t>FIJOS CON TUBULAR RECTANGULAR</t>
        </is>
      </c>
      <c r="C96" s="3" t="n">
        <v>53</v>
      </c>
      <c r="D96" s="2" t="inlineStr">
        <is>
          <t>VIDRIO 2</t>
        </is>
      </c>
      <c r="E96" s="2" t="inlineStr">
        <is>
          <t>D53: =IF(C47=0,((C49*C50)*(VLOOKUP(C53,F17:H28,3))),((C47*C48)*(VLOOKUP(C53,F17:H28,3)))) | G53: =+D53</t>
        </is>
      </c>
      <c r="F96" s="2" t="inlineStr">
        <is>
          <t>D53: 14747.2 | G53: 14747.2</t>
        </is>
      </c>
    </row>
    <row r="97">
      <c r="A97" s="2" t="inlineStr">
        <is>
          <t>Hoja8</t>
        </is>
      </c>
      <c r="B97" s="2" t="inlineStr">
        <is>
          <t>FIJOS CON TUBULAR RECTANGULAR</t>
        </is>
      </c>
      <c r="C97" s="3" t="n">
        <v>54</v>
      </c>
      <c r="D97" s="2" t="inlineStr">
        <is>
          <t>F.CHICO</t>
        </is>
      </c>
      <c r="E97" s="2" t="inlineStr">
        <is>
          <t>D54: =IF(C47&gt;0,(C19+C20),0) | G54: =IF(C47&gt;0,(C19+C20),0)</t>
        </is>
      </c>
      <c r="F97" s="2" t="inlineStr">
        <is>
          <t>D54: 0 | G54: 0</t>
        </is>
      </c>
    </row>
    <row r="98">
      <c r="A98" s="2" t="inlineStr">
        <is>
          <t>Hoja8</t>
        </is>
      </c>
      <c r="B98" s="2" t="inlineStr">
        <is>
          <t>FIJOS CON TUBULAR RECTANGULAR</t>
        </is>
      </c>
      <c r="C98" s="3" t="n">
        <v>55</v>
      </c>
      <c r="D98" s="2" t="inlineStr">
        <is>
          <t>F.GRANDE</t>
        </is>
      </c>
      <c r="E98" s="2" t="inlineStr">
        <is>
          <t>D55: =IF(C49&gt;0,(D19+D20),0) | G55: =IF(C49&gt;0,(D19+D20),0)</t>
        </is>
      </c>
      <c r="F98" s="2" t="inlineStr">
        <is>
          <t>D55: 3450 | G55: 3450</t>
        </is>
      </c>
    </row>
    <row r="99">
      <c r="A99" s="2" t="inlineStr">
        <is>
          <t>Hoja8</t>
        </is>
      </c>
      <c r="B99" s="2" t="inlineStr">
        <is>
          <t>FIJOS CON TUBULAR RECTANGULAR</t>
        </is>
      </c>
      <c r="C99" s="3" t="n">
        <v>56</v>
      </c>
      <c r="D99" s="2" t="inlineStr">
        <is>
          <t>M.O.F.Ch.</t>
        </is>
      </c>
      <c r="E99" s="2" t="inlineStr">
        <is>
          <t>D56: =IF(C47*C48=0,(B21),IF(C47*C48&lt;=2,(C21),IF(C47*C48&gt;2,(D21),"0=(B19) 2=&lt;(C19) 2&gt;(D19)"))) | G56: =D56</t>
        </is>
      </c>
      <c r="F99" s="2" t="inlineStr">
        <is>
          <t>D56: 0 | G56: 0</t>
        </is>
      </c>
    </row>
    <row r="100">
      <c r="A100" s="2" t="inlineStr">
        <is>
          <t>Hoja8</t>
        </is>
      </c>
      <c r="B100" s="2" t="inlineStr">
        <is>
          <t>FIJOS CON TUBULAR RECTANGULAR</t>
        </is>
      </c>
      <c r="C100" s="3" t="n">
        <v>57</v>
      </c>
      <c r="D100" s="2" t="inlineStr">
        <is>
          <t>M.O.F.Gr.</t>
        </is>
      </c>
      <c r="E100" s="2" t="inlineStr">
        <is>
          <t>D57: =IF(C49*C50=0,(B21),IF(C49*C50&lt;=2,(C21),IF(C49*C50&gt;2,(D21),"0=(B19) 2=&lt;(C19) 2&gt;(D19)"))) | G57: =D57</t>
        </is>
      </c>
      <c r="F100" s="2" t="inlineStr">
        <is>
          <t>D57: 19800 | G57: 19800</t>
        </is>
      </c>
    </row>
    <row r="101">
      <c r="A101" s="2" t="inlineStr">
        <is>
          <t>Hoja8</t>
        </is>
      </c>
      <c r="B101" s="2" t="inlineStr">
        <is>
          <t>FIJOS CON TUBULAR RECTANGULAR</t>
        </is>
      </c>
      <c r="C101" s="3" t="n">
        <v>58</v>
      </c>
      <c r="D101" s="2" t="inlineStr">
        <is>
          <t>T 30/60 MEDIDA: 0</t>
        </is>
      </c>
      <c r="E101" s="2" t="inlineStr">
        <is>
          <t>D58: =C58*(C14/6) | G58: =C58*(D14/6)</t>
        </is>
      </c>
      <c r="F101" s="2" t="inlineStr">
        <is>
          <t>D58: 0 | G58: 0</t>
        </is>
      </c>
    </row>
    <row r="102">
      <c r="A102" s="2" t="inlineStr">
        <is>
          <t>Hoja8</t>
        </is>
      </c>
      <c r="B102" s="2" t="inlineStr">
        <is>
          <t>FIJOS CON TUBULAR RECTANGULAR</t>
        </is>
      </c>
      <c r="C102" s="3" t="n">
        <v>59</v>
      </c>
      <c r="D102" s="2" t="inlineStr">
        <is>
          <t>PLACA 6.0X90 0</t>
        </is>
      </c>
      <c r="E102" s="2" t="inlineStr">
        <is>
          <t>D59: =C15*(C59*C50) | G59: =D15*(C59*C48)</t>
        </is>
      </c>
      <c r="F102" s="2" t="inlineStr">
        <is>
          <t>D59: 0 | G59: 0</t>
        </is>
      </c>
    </row>
    <row r="103">
      <c r="A103" s="2" t="inlineStr">
        <is>
          <t>Hoja8</t>
        </is>
      </c>
      <c r="B103" s="2" t="inlineStr">
        <is>
          <t>FIJOS CON TUBULAR RECTANGULAR</t>
        </is>
      </c>
      <c r="C103" s="3" t="n">
        <v>60</v>
      </c>
      <c r="D103" s="2" t="inlineStr"/>
      <c r="E103" s="2" t="inlineStr">
        <is>
          <t>D60: =SUM(D47:D59) | G60: =SUM(G47:G59)</t>
        </is>
      </c>
      <c r="F103" s="2" t="inlineStr">
        <is>
          <t>D60: 53237.5533 | G60: 62991.9133</t>
        </is>
      </c>
    </row>
    <row r="104">
      <c r="A104" s="2" t="inlineStr">
        <is>
          <t>Hoja8</t>
        </is>
      </c>
      <c r="B104" s="2" t="inlineStr">
        <is>
          <t>FIJOS CON TUBULAR RECTANGULAR</t>
        </is>
      </c>
      <c r="C104" s="3" t="n">
        <v>61</v>
      </c>
      <c r="D104" s="2" t="inlineStr">
        <is>
          <t>TOTAL:</t>
        </is>
      </c>
      <c r="E104" s="2" t="inlineStr">
        <is>
          <t>D61: =CEILING(((+D60*40)/100)+D60,1000) | G61: =CEILING(((+G60*40)/100)+G60,1000)</t>
        </is>
      </c>
      <c r="F104" s="2" t="inlineStr">
        <is>
          <t>D61: 75000 | G61: 89000</t>
        </is>
      </c>
    </row>
    <row r="105">
      <c r="A105" s="2" t="inlineStr">
        <is>
          <t>Hoja8</t>
        </is>
      </c>
      <c r="B105" s="2" t="inlineStr">
        <is>
          <t>FIJOS CON TUBULAR RECTANGULAR</t>
        </is>
      </c>
      <c r="C105" s="3" t="n">
        <v>64</v>
      </c>
      <c r="D105" s="2" t="inlineStr"/>
      <c r="E105" s="2" t="inlineStr">
        <is>
          <t>G64: =CEILING(G61*10%+G61,1000)</t>
        </is>
      </c>
      <c r="F105" s="2" t="inlineStr">
        <is>
          <t>G64: 98000</t>
        </is>
      </c>
    </row>
    <row r="106">
      <c r="A106" s="2" t="inlineStr">
        <is>
          <t>Hoja8</t>
        </is>
      </c>
      <c r="B106" s="2" t="inlineStr">
        <is>
          <t>FIJOS CON TUBULAR RECTANGULAR</t>
        </is>
      </c>
      <c r="C106" s="3" t="n">
        <v>67</v>
      </c>
      <c r="D106" s="2" t="inlineStr"/>
      <c r="E106" s="2" t="inlineStr">
        <is>
          <t>D67: =CEILING(G67*15%+G67,1000) | G67: =CEILING(G64*10%+G64,1000)</t>
        </is>
      </c>
      <c r="F106" s="2" t="inlineStr">
        <is>
          <t>D67: 125000 | G67: 108000</t>
        </is>
      </c>
    </row>
    <row r="107">
      <c r="A107" s="2" t="inlineStr">
        <is>
          <t>Hoja9</t>
        </is>
      </c>
      <c r="B107" s="2" t="inlineStr">
        <is>
          <t>FIJOS CON CENTRO DE PUERTA</t>
        </is>
      </c>
      <c r="C107" s="3" t="n">
        <v>47</v>
      </c>
      <c r="D107" s="2" t="inlineStr">
        <is>
          <t>CP 7095 ALTO: 1.89</t>
        </is>
      </c>
      <c r="E107" s="2" t="inlineStr">
        <is>
          <t>D47: =(2*C47)*(C10/6) | G47: =(2*C47)*(D10/6)</t>
        </is>
      </c>
      <c r="F107" s="2" t="inlineStr">
        <is>
          <t>D47: 6597.99 | G47: 6955.2</t>
        </is>
      </c>
    </row>
    <row r="108">
      <c r="A108" s="2" t="inlineStr">
        <is>
          <t>Hoja9</t>
        </is>
      </c>
      <c r="B108" s="2" t="inlineStr">
        <is>
          <t>FIJOS CON CENTRO DE PUERTA</t>
        </is>
      </c>
      <c r="C108" s="3" t="n">
        <v>48</v>
      </c>
      <c r="D108" s="2" t="inlineStr">
        <is>
          <t>ANCHO: 0.25</t>
        </is>
      </c>
      <c r="E108" s="2" t="inlineStr">
        <is>
          <t>D48: =(2*C48)*(C10/6) | G48: =(2*C48)*(D10/6)</t>
        </is>
      </c>
      <c r="F108" s="2" t="inlineStr">
        <is>
          <t>D48: 872.75 | G48: 920</t>
        </is>
      </c>
    </row>
    <row r="109">
      <c r="A109" s="2" t="inlineStr">
        <is>
          <t>Hoja9</t>
        </is>
      </c>
      <c r="B109" s="2" t="inlineStr">
        <is>
          <t>FIJOS CON CENTRO DE PUERTA</t>
        </is>
      </c>
      <c r="C109" s="3" t="n">
        <v>49</v>
      </c>
      <c r="D109" s="2" t="inlineStr">
        <is>
          <t>CP 5034 ALTO: 0</t>
        </is>
      </c>
      <c r="E109" s="2" t="inlineStr">
        <is>
          <t>D49: =(2*C49)*(C11/6) | G49: =(2*C49)*(D11/6)</t>
        </is>
      </c>
      <c r="F109" s="2" t="inlineStr">
        <is>
          <t>D49: 0 | G49: 0</t>
        </is>
      </c>
    </row>
    <row r="110">
      <c r="A110" s="2" t="inlineStr">
        <is>
          <t>Hoja9</t>
        </is>
      </c>
      <c r="B110" s="2" t="inlineStr">
        <is>
          <t>FIJOS CON CENTRO DE PUERTA</t>
        </is>
      </c>
      <c r="C110" s="3" t="n">
        <v>50</v>
      </c>
      <c r="D110" s="2" t="inlineStr">
        <is>
          <t>ANCHO: 0</t>
        </is>
      </c>
      <c r="E110" s="2" t="inlineStr">
        <is>
          <t>D50: =(2*C50)*(C11/6) | G50: =(2*C50)*(D11/6)</t>
        </is>
      </c>
      <c r="F110" s="2" t="inlineStr">
        <is>
          <t>D50: 0 | G50: 0</t>
        </is>
      </c>
    </row>
    <row r="111">
      <c r="A111" s="2" t="inlineStr">
        <is>
          <t>Hoja9</t>
        </is>
      </c>
      <c r="B111" s="2" t="inlineStr">
        <is>
          <t>FIJOS CON CENTRO DE PUERTA</t>
        </is>
      </c>
      <c r="C111" s="3" t="n">
        <v>51</v>
      </c>
      <c r="D111" s="2" t="inlineStr">
        <is>
          <t>JQ.10x10</t>
        </is>
      </c>
      <c r="E111" s="2" t="inlineStr">
        <is>
          <t>D51: =IF(C49=0,((C47*2)+(C48*2))*C12/6,0) | G51: =IF(C49=0,((C47*2)+(C48*2))*D12/6,0)</t>
        </is>
      </c>
      <c r="F111" s="2" t="inlineStr">
        <is>
          <t>D51: 1873.9267 | G51: 2204.2</t>
        </is>
      </c>
    </row>
    <row r="112">
      <c r="A112" s="2" t="inlineStr">
        <is>
          <t>Hoja9</t>
        </is>
      </c>
      <c r="B112" s="2" t="inlineStr">
        <is>
          <t>FIJOS CON CENTRO DE PUERTA</t>
        </is>
      </c>
      <c r="C112" s="3" t="n">
        <v>52</v>
      </c>
      <c r="D112" s="2" t="inlineStr">
        <is>
          <t>JQ.20/12</t>
        </is>
      </c>
      <c r="E112" s="2" t="inlineStr">
        <is>
          <t>D52: =IF(C47=0,((C49*2)+(C50*2))*C13/6,0) | G52: =IF(C47=0,((C49*2)+(C50*2))*D13/6,0)</t>
        </is>
      </c>
      <c r="F112" s="2" t="inlineStr">
        <is>
          <t>D52: 0 | G52: 0</t>
        </is>
      </c>
    </row>
    <row r="113">
      <c r="A113" s="2" t="inlineStr">
        <is>
          <t>Hoja9</t>
        </is>
      </c>
      <c r="B113" s="2" t="inlineStr">
        <is>
          <t>FIJOS CON CENTRO DE PUERTA</t>
        </is>
      </c>
      <c r="C113" s="3" t="n">
        <v>53</v>
      </c>
      <c r="D113" s="2" t="inlineStr">
        <is>
          <t>PALILLO: MEDIDA: 0</t>
        </is>
      </c>
      <c r="E113" s="2" t="inlineStr">
        <is>
          <t>D53: =IF(AND(C53&gt;0,C49=0),(2*C53*C10/6)+(2*C53*C12/6),(2*C53*C11/6)+(2*C53*C13/6)) | G53: =IF(AND(C53&gt;0,C49=0),(2*C53*D10/6)+(2*C53*D12/6),(2*C53*D11/6)+(2*C53*D13/6))</t>
        </is>
      </c>
      <c r="F113" s="2" t="inlineStr">
        <is>
          <t>D53: 0 | G53: 0</t>
        </is>
      </c>
    </row>
    <row r="114">
      <c r="A114" s="2" t="inlineStr">
        <is>
          <t>Hoja9</t>
        </is>
      </c>
      <c r="B114" s="2" t="inlineStr">
        <is>
          <t>FIJOS CON CENTRO DE PUERTA</t>
        </is>
      </c>
      <c r="C114" s="3" t="n">
        <v>54</v>
      </c>
      <c r="D114" s="2" t="inlineStr">
        <is>
          <t>VIDRIO 8</t>
        </is>
      </c>
      <c r="E114" s="2" t="inlineStr">
        <is>
          <t>D54: =+G54 | G54: =IF(C47=0,((C49*C50)*(VLOOKUP(C54,F17:H25,3))),((C47*C48)*(VLOOKUP(C54,F17:H25,3))))</t>
        </is>
      </c>
      <c r="F114" s="2" t="inlineStr">
        <is>
          <t>D54: 16386.3 | G54: 16386.3</t>
        </is>
      </c>
    </row>
    <row r="115">
      <c r="A115" s="2" t="inlineStr">
        <is>
          <t>Hoja9</t>
        </is>
      </c>
      <c r="B115" s="2" t="inlineStr">
        <is>
          <t>FIJOS CON CENTRO DE PUERTA</t>
        </is>
      </c>
      <c r="C115" s="3" t="n">
        <v>55</v>
      </c>
      <c r="D115" s="2" t="inlineStr">
        <is>
          <t>F.CHICO</t>
        </is>
      </c>
      <c r="E115" s="2" t="inlineStr">
        <is>
          <t>D55: =IF(C47&gt;0,(C17+C18),0) | G55: =IF(C47&gt;0,(C17+C18),0)</t>
        </is>
      </c>
      <c r="F115" s="2" t="inlineStr">
        <is>
          <t>D55: 1800 | G55: 1800</t>
        </is>
      </c>
    </row>
    <row r="116">
      <c r="A116" s="2" t="inlineStr">
        <is>
          <t>Hoja9</t>
        </is>
      </c>
      <c r="B116" s="2" t="inlineStr">
        <is>
          <t>FIJOS CON CENTRO DE PUERTA</t>
        </is>
      </c>
      <c r="C116" s="3" t="n">
        <v>56</v>
      </c>
      <c r="D116" s="2" t="inlineStr">
        <is>
          <t>F.GRANDE</t>
        </is>
      </c>
      <c r="E116" s="2" t="inlineStr">
        <is>
          <t>D56: =IF(C49&gt;0,(D17+D18),0) | G56: =IF(C49&gt;0,(D17+D18),0)</t>
        </is>
      </c>
      <c r="F116" s="2" t="inlineStr">
        <is>
          <t>D56: 0 | G56: 0</t>
        </is>
      </c>
    </row>
    <row r="117">
      <c r="A117" s="2" t="inlineStr">
        <is>
          <t>Hoja9</t>
        </is>
      </c>
      <c r="B117" s="2" t="inlineStr">
        <is>
          <t>FIJOS CON CENTRO DE PUERTA</t>
        </is>
      </c>
      <c r="C117" s="3" t="n">
        <v>57</v>
      </c>
      <c r="D117" s="2" t="inlineStr">
        <is>
          <t>M.O.F.Ch.</t>
        </is>
      </c>
      <c r="E117" s="2" t="inlineStr">
        <is>
          <t>D57: =IF(C47*C48=0,(B19),IF(C47*C48&lt;=2,(C19),IF(C47*C48&gt;2,(D19),"0=(B19) 2&lt;=(C19) 2&gt;(D19)"))) | G57: =D57</t>
        </is>
      </c>
      <c r="F117" s="2" t="inlineStr">
        <is>
          <t>D57: 13200 | G57: 13200</t>
        </is>
      </c>
    </row>
    <row r="118">
      <c r="A118" s="2" t="inlineStr">
        <is>
          <t>Hoja9</t>
        </is>
      </c>
      <c r="B118" s="2" t="inlineStr">
        <is>
          <t>FIJOS CON CENTRO DE PUERTA</t>
        </is>
      </c>
      <c r="C118" s="3" t="n">
        <v>58</v>
      </c>
      <c r="D118" s="2" t="inlineStr">
        <is>
          <t>M.O.F.Gr.</t>
        </is>
      </c>
      <c r="E118" s="2" t="inlineStr">
        <is>
          <t>D58: =IF(C49*C50=0,(B19),IF(C49*C50&lt;=2,(C19),IF(C49*C50&gt;2,(D19),"0=(B19) 2&lt;=(C19) 2&gt;(D19)"))) | G58: =D58</t>
        </is>
      </c>
      <c r="F118" s="2" t="inlineStr">
        <is>
          <t>D58: 0 | G58: 0</t>
        </is>
      </c>
    </row>
    <row r="119">
      <c r="A119" s="2" t="inlineStr">
        <is>
          <t>Hoja9</t>
        </is>
      </c>
      <c r="B119" s="2" t="inlineStr">
        <is>
          <t>FIJOS CON CENTRO DE PUERTA</t>
        </is>
      </c>
      <c r="C119" s="3" t="n">
        <v>59</v>
      </c>
      <c r="D119" s="2" t="inlineStr">
        <is>
          <t>T 30/60 MEDIDA: 0</t>
        </is>
      </c>
      <c r="E119" s="2" t="inlineStr">
        <is>
          <t>D59: =C59*(C14/6) | G59: =C59*(D14/6)</t>
        </is>
      </c>
      <c r="F119" s="2" t="inlineStr">
        <is>
          <t>D59: 0 | G59: 0</t>
        </is>
      </c>
    </row>
    <row r="120">
      <c r="A120" s="2" t="inlineStr">
        <is>
          <t>Hoja9</t>
        </is>
      </c>
      <c r="B120" s="2" t="inlineStr">
        <is>
          <t>FIJOS CON CENTRO DE PUERTA</t>
        </is>
      </c>
      <c r="C120" s="3" t="n">
        <v>60</v>
      </c>
      <c r="D120" s="2" t="inlineStr"/>
      <c r="E120" s="2" t="inlineStr">
        <is>
          <t>D60: =SUM(D47:D59) | G60: =SUM(G47:G59)</t>
        </is>
      </c>
      <c r="F120" s="2" t="inlineStr">
        <is>
          <t>D60: 40730.9667 | G60: 41465.7</t>
        </is>
      </c>
    </row>
    <row r="121">
      <c r="A121" s="2" t="inlineStr">
        <is>
          <t>Hoja9</t>
        </is>
      </c>
      <c r="B121" s="2" t="inlineStr">
        <is>
          <t>FIJOS CON CENTRO DE PUERTA</t>
        </is>
      </c>
      <c r="C121" s="3" t="n">
        <v>61</v>
      </c>
      <c r="D121" s="2" t="inlineStr">
        <is>
          <t>TOTAL:</t>
        </is>
      </c>
      <c r="E121" s="2" t="inlineStr">
        <is>
          <t>D61: =CEILING(((+D60*40)/100)+D60,1000) | G61: =CEILING(((+G60*80)/100)+G60,1000)</t>
        </is>
      </c>
      <c r="F121" s="2" t="inlineStr">
        <is>
          <t>D61: 58000 | G61: 75000</t>
        </is>
      </c>
    </row>
    <row r="122">
      <c r="A122" s="2" t="inlineStr">
        <is>
          <t>Hoja9</t>
        </is>
      </c>
      <c r="B122" s="2" t="inlineStr">
        <is>
          <t>FIJOS CON CENTRO DE PUERTA</t>
        </is>
      </c>
      <c r="C122" s="3" t="n">
        <v>64</v>
      </c>
      <c r="D122" s="2" t="inlineStr"/>
      <c r="E122" s="2" t="inlineStr">
        <is>
          <t>G64: =CEILING(G61*10%+G61,1000)</t>
        </is>
      </c>
      <c r="F122" s="2" t="inlineStr">
        <is>
          <t>G64: 83000</t>
        </is>
      </c>
    </row>
    <row r="123">
      <c r="A123" s="2" t="inlineStr">
        <is>
          <t>Hoja9</t>
        </is>
      </c>
      <c r="B123" s="2" t="inlineStr">
        <is>
          <t>FIJOS CON CENTRO DE PUERTA</t>
        </is>
      </c>
      <c r="C123" s="3" t="n">
        <v>67</v>
      </c>
      <c r="D123" s="2" t="inlineStr"/>
      <c r="E123" s="2" t="inlineStr">
        <is>
          <t>E67: =CEILING(G67*10%+G67,1000) | G67: =CEILING(G64*10%+G64,1000)</t>
        </is>
      </c>
      <c r="F123" s="2" t="inlineStr">
        <is>
          <t>E67: 102000 | G67: 92000</t>
        </is>
      </c>
    </row>
    <row r="124">
      <c r="A124" s="2" t="inlineStr">
        <is>
          <t>Hoja10</t>
        </is>
      </c>
      <c r="B124" s="2" t="inlineStr">
        <is>
          <t>PRESUPUESTOS LINEA 8000</t>
        </is>
      </c>
      <c r="C124" s="3" t="n">
        <v>40</v>
      </c>
      <c r="D124" s="2" t="inlineStr">
        <is>
          <t>DESCRIP: L-8000 AL.HORIZ:</t>
        </is>
      </c>
      <c r="E124" s="2" t="inlineStr">
        <is>
          <t>K40: =SUM(I18:I19)+SUM(K29:K38)</t>
        </is>
      </c>
      <c r="F124" s="2" t="inlineStr">
        <is>
          <t>K40: 127304</t>
        </is>
      </c>
    </row>
    <row r="125">
      <c r="A125" s="2" t="inlineStr">
        <is>
          <t>Hoja10</t>
        </is>
      </c>
      <c r="B125" s="2" t="inlineStr">
        <is>
          <t>PRESUPUESTOS LINEA 8000</t>
        </is>
      </c>
      <c r="C125" s="3" t="n">
        <v>41</v>
      </c>
      <c r="D125" s="2" t="inlineStr">
        <is>
          <t>VIDRIO: VITREA</t>
        </is>
      </c>
      <c r="E125" s="2" t="inlineStr">
        <is>
          <t>K41: =SUM(I18+I22)+SUM(K29:K38)</t>
        </is>
      </c>
      <c r="F125" s="2" t="inlineStr">
        <is>
          <t>K41: 131756</t>
        </is>
      </c>
    </row>
    <row r="126">
      <c r="A126" s="2" t="inlineStr">
        <is>
          <t>Hoja10</t>
        </is>
      </c>
      <c r="B126" s="2" t="inlineStr">
        <is>
          <t>PRESUPUESTOS LINEA 8000</t>
        </is>
      </c>
      <c r="C126" s="3" t="n">
        <v>45</v>
      </c>
      <c r="D126" s="2" t="inlineStr">
        <is>
          <t>TRABAJO: L-8000 3</t>
        </is>
      </c>
      <c r="E126" s="2" t="inlineStr">
        <is>
          <t>F45: =C45</t>
        </is>
      </c>
      <c r="F126" s="2" t="inlineStr">
        <is>
          <t>F45: 3</t>
        </is>
      </c>
    </row>
    <row r="127">
      <c r="A127" s="2" t="inlineStr">
        <is>
          <t>Hoja10</t>
        </is>
      </c>
      <c r="B127" s="2" t="inlineStr">
        <is>
          <t>PRESUPUESTOS LINEA 8000</t>
        </is>
      </c>
      <c r="C127" s="3" t="n">
        <v>47</v>
      </c>
      <c r="D127" s="2" t="inlineStr">
        <is>
          <t>AL.HORIZ: 1.2</t>
        </is>
      </c>
      <c r="E127" s="2" t="inlineStr">
        <is>
          <t>D47: =C47*((C10+C11+C13+C14)/6) | E47: =C47*((C10+C11+E13+E13)/6) | F47: =C47 | G47: =F47*((D10+D11+D13+D14)/6) | H47: =F47*((D10+D11+E4+E4)/6)</t>
        </is>
      </c>
      <c r="F127" s="2" t="inlineStr">
        <is>
          <t>D47: 22118 | E47: 32432 | F47: 1.2 | G47: 23890.0 | H47: 35026</t>
        </is>
      </c>
    </row>
    <row r="128">
      <c r="A128" s="2" t="inlineStr">
        <is>
          <t>Hoja10</t>
        </is>
      </c>
      <c r="B128" s="2" t="inlineStr">
        <is>
          <t>PRESUPUESTOS LINEA 8000</t>
        </is>
      </c>
      <c r="C128" s="3" t="n">
        <v>48</v>
      </c>
      <c r="D128" s="2" t="inlineStr">
        <is>
          <t>AL.VERT: MIN.2.5m. 1</t>
        </is>
      </c>
      <c r="E128" s="2" t="inlineStr">
        <is>
          <t>D48: =2*(+C48*((C12+C15+C16)/4.6)) | E48: =2*(+C48*((C12+E15+E16)/4.6)) | F48: =C48 | G48: =2*(+F48*((D12+D15+D16)/4.6)) | H48: =2*(+F48*((D12+E5+E6)/4.6))</t>
        </is>
      </c>
      <c r="F128" s="2" t="inlineStr">
        <is>
          <t>D48: 31426.087 | E48: 46326.087 | F48: 1 | G48: 33943.4783 | H48: 50726.087</t>
        </is>
      </c>
    </row>
    <row r="129">
      <c r="A129" s="2" t="inlineStr">
        <is>
          <t>Hoja10</t>
        </is>
      </c>
      <c r="B129" s="2" t="inlineStr">
        <is>
          <t>PRESUPUESTOS LINEA 8000</t>
        </is>
      </c>
      <c r="C129" s="3" t="n">
        <v>49</v>
      </c>
      <c r="D129" s="2" t="inlineStr">
        <is>
          <t>VIDRIO: 3</t>
        </is>
      </c>
      <c r="E129" s="2" t="inlineStr">
        <is>
          <t>D49: =(C47*(C48-(C59+C60)))*VLOOKUP(C49,F17:H27,3) | E49: =+K40 | F49: =C49 | G49: =(C47*(C48-(C59+C60)))*VLOOKUP(C49,F17:H27,3) | H49: =+K40</t>
        </is>
      </c>
      <c r="F129" s="2" t="inlineStr">
        <is>
          <t>D49: 31800 | E49: 127304 | F49: 3 | G49: 31800 | H49: 127304</t>
        </is>
      </c>
    </row>
    <row r="130">
      <c r="A130" s="2" t="inlineStr">
        <is>
          <t>Hoja10</t>
        </is>
      </c>
      <c r="B130" s="2" t="inlineStr">
        <is>
          <t>PRESUPUESTOS LINEA 8000</t>
        </is>
      </c>
      <c r="C130" s="3" t="n">
        <v>50</v>
      </c>
      <c r="D130" s="2" t="inlineStr">
        <is>
          <t>BURLETE:</t>
        </is>
      </c>
      <c r="E130" s="2" t="inlineStr">
        <is>
          <t>D50: =((C47*2)+(C48*4))*G10 | E50: =+D50 | G50: =((F47*2)+(F48*4))*H10 | H50: =((F47*2)+(F48*4))*H10</t>
        </is>
      </c>
      <c r="F130" s="2" t="inlineStr">
        <is>
          <t>D50: 1920 | E50: 1920 | G50: 1920 | H50: 1920</t>
        </is>
      </c>
    </row>
    <row r="131">
      <c r="A131" s="2" t="inlineStr">
        <is>
          <t>Hoja10</t>
        </is>
      </c>
      <c r="B131" s="2" t="inlineStr">
        <is>
          <t>PRESUPUESTOS LINEA 8000</t>
        </is>
      </c>
      <c r="C131" s="3" t="n">
        <v>51</v>
      </c>
      <c r="D131" s="2" t="inlineStr">
        <is>
          <t>FELPA:</t>
        </is>
      </c>
      <c r="E131" s="2" t="inlineStr">
        <is>
          <t>D51: =((C47*2)+(C48*4))*(1+0.1)*G11 | E51: =+D51 | G51: =((F47*2)+(F48*4))*(1+0.1)*H11 | H51: =((F47*2)+(F48*4))*(1+0.1)*H11</t>
        </is>
      </c>
      <c r="F131" s="2" t="inlineStr">
        <is>
          <t>D51: 1126.4 | E51: 1126.4 | G51: 1126.4 | H51: 1126.4</t>
        </is>
      </c>
    </row>
    <row r="132">
      <c r="A132" s="2" t="inlineStr">
        <is>
          <t>Hoja10</t>
        </is>
      </c>
      <c r="B132" s="2" t="inlineStr">
        <is>
          <t>PRESUPUESTOS LINEA 8000</t>
        </is>
      </c>
      <c r="C132" s="3" t="n">
        <v>52</v>
      </c>
      <c r="D132" s="2" t="inlineStr">
        <is>
          <t>RODAM.: 4</t>
        </is>
      </c>
      <c r="E132" s="2" t="inlineStr">
        <is>
          <t>D52: =C52*G12 | E52: =+D52 | F52: =C52 | G52: =F52*H12 | H52: =F52*H12</t>
        </is>
      </c>
      <c r="F132" s="2" t="inlineStr">
        <is>
          <t>D52: 5200 | E52: 5200 | F52: 4 | G52: 5200 | H52: 5200</t>
        </is>
      </c>
    </row>
    <row r="133">
      <c r="A133" s="2" t="inlineStr">
        <is>
          <t>Hoja10</t>
        </is>
      </c>
      <c r="B133" s="2" t="inlineStr">
        <is>
          <t>PRESUPUESTOS LINEA 8000</t>
        </is>
      </c>
      <c r="C133" s="3" t="n">
        <v>53</v>
      </c>
      <c r="D133" s="2" t="inlineStr">
        <is>
          <t>PESTILLOS 2</t>
        </is>
      </c>
      <c r="E133" s="2" t="inlineStr">
        <is>
          <t>D53: =C53*G13 | E53: =+D53 | F53: =C53 | G53: =F53*H13 | H53: =F53*H13</t>
        </is>
      </c>
      <c r="F133" s="2" t="inlineStr">
        <is>
          <t>D53: 9000 | E53: 9000 | F53: 2 | G53: 9000 | H53: 9000</t>
        </is>
      </c>
    </row>
    <row r="134">
      <c r="A134" s="2" t="inlineStr">
        <is>
          <t>Hoja10</t>
        </is>
      </c>
      <c r="B134" s="2" t="inlineStr">
        <is>
          <t>PRESUPUESTOS LINEA 8000</t>
        </is>
      </c>
      <c r="C134" s="3" t="n">
        <v>54</v>
      </c>
      <c r="D134" s="2" t="inlineStr">
        <is>
          <t>M.OBRA:</t>
        </is>
      </c>
      <c r="E134" s="2" t="inlineStr">
        <is>
          <t>D54: =VLOOKUP(C45,A28:C30,3) | E54: =+D54 | G54: =VLOOKUP(F45,A28:C30,3) | H54: =VLOOKUP(F45,A28:C30,3)</t>
        </is>
      </c>
      <c r="F134" s="2" t="inlineStr">
        <is>
          <t>D54: 48400 | E54: 48400 | G54: 48400 | H54: 48400</t>
        </is>
      </c>
    </row>
    <row r="135">
      <c r="A135" s="2" t="inlineStr">
        <is>
          <t>Hoja10</t>
        </is>
      </c>
      <c r="B135" s="2" t="inlineStr">
        <is>
          <t>PRESUPUESTOS LINEA 8000</t>
        </is>
      </c>
      <c r="C135" s="3" t="n">
        <v>55</v>
      </c>
      <c r="D135" s="2" t="inlineStr">
        <is>
          <t>PALILLO: Si=1/No=0 0</t>
        </is>
      </c>
      <c r="E135" s="2" t="inlineStr">
        <is>
          <t>D55: =C55*(C47*(C17/6)+2*(C47*G10)) | E55: =+D55 | F55: =C55 | G55: =F55*(F47*(D17/6)+2*(F47*H10)) | H55: =F55*(F47*(D17/6)+2*(F47*H10))</t>
        </is>
      </c>
      <c r="F135" s="2" t="inlineStr">
        <is>
          <t>D55: 0 | E55: 0 | F55: 0 | G55: 0 | H55: 0</t>
        </is>
      </c>
    </row>
    <row r="136">
      <c r="A136" s="2" t="inlineStr">
        <is>
          <t>Hoja10</t>
        </is>
      </c>
      <c r="B136" s="2" t="inlineStr">
        <is>
          <t>PRESUPUESTOS LINEA 8000</t>
        </is>
      </c>
      <c r="C136" s="3" t="n">
        <v>56</v>
      </c>
      <c r="D136" s="2" t="inlineStr">
        <is>
          <t>III HOJA:</t>
        </is>
      </c>
      <c r="E136" s="2" t="inlineStr">
        <is>
          <t>D56: =IF(C45=3,((C48*2)*(C15/6))+(C48*2)*G10,0) | E56: =+D56 | G56: =IF(F45=3,((F48*2)*(D15/6))+(F48*2)*H10,0) | H56: =IF(F45=3,((F48*2)*(D15/6))+(F48*2)*H10,0)</t>
        </is>
      </c>
      <c r="F136" s="2" t="inlineStr">
        <is>
          <t>D56: 8860 | E56: 8860 | G56: 9520 | H56: 9520</t>
        </is>
      </c>
    </row>
    <row r="137">
      <c r="A137" s="2" t="inlineStr">
        <is>
          <t>Hoja10</t>
        </is>
      </c>
      <c r="B137" s="2" t="inlineStr">
        <is>
          <t>PRESUPUESTOS LINEA 8000</t>
        </is>
      </c>
      <c r="C137" s="3" t="n">
        <v>57</v>
      </c>
      <c r="D137" s="2" t="inlineStr">
        <is>
          <t>IV HOJA:</t>
        </is>
      </c>
      <c r="E137" s="2" t="inlineStr">
        <is>
          <t>D57: =IF(C45=4,((C48*4)*(C15/6))+((C48*4)*G10)+(C18/6*C48),0) | E57: =+D57 | G57: =IF(C45=4,((C48*4)*(D15/6))+((C48*4)*H10)+(D18/6*C48),0) | H57: =IF(C45=4,((C48*4)*(D15/6))+((C48*4)*H10)+(D18/6*C48),0)</t>
        </is>
      </c>
      <c r="F137" s="2" t="inlineStr">
        <is>
          <t>D57: 0 | E57: 0 | G57: 0 | H57: 0</t>
        </is>
      </c>
    </row>
    <row r="138">
      <c r="A138" s="2" t="inlineStr">
        <is>
          <t>Hoja10</t>
        </is>
      </c>
      <c r="B138" s="2" t="inlineStr">
        <is>
          <t>PRESUPUESTOS LINEA 8000</t>
        </is>
      </c>
      <c r="C138" s="3" t="n">
        <v>58</v>
      </c>
      <c r="D138" s="2" t="inlineStr">
        <is>
          <t>TUBO: MEDIDA: 0</t>
        </is>
      </c>
      <c r="E138" s="2" t="inlineStr">
        <is>
          <t>D58: =C58*C25/6 | E58: =+D58 | F58: =C58 | G58: =C58*D25/6 | H58: =C58*D25/6</t>
        </is>
      </c>
      <c r="F138" s="2" t="inlineStr">
        <is>
          <t>D58: 0 | E58: 0 | F58: 0 | G58: 0 | H58: 0</t>
        </is>
      </c>
    </row>
    <row r="139">
      <c r="A139" s="2" t="inlineStr">
        <is>
          <t>Hoja10</t>
        </is>
      </c>
      <c r="B139" s="2" t="inlineStr">
        <is>
          <t>PRESUPUESTOS LINEA 8000</t>
        </is>
      </c>
      <c r="C139" s="3" t="n">
        <v>59</v>
      </c>
      <c r="D139" s="2" t="inlineStr">
        <is>
          <t>PLACA: ALTO: 0</t>
        </is>
      </c>
      <c r="E139" s="2" t="inlineStr">
        <is>
          <t>D59: =C23*(C59*C47) | E59: =+D59 | F59: =C59 | G59: =D23*(F59*F47) | H59: =D23*(F59*F47)</t>
        </is>
      </c>
      <c r="F139" s="2" t="inlineStr">
        <is>
          <t>D59: 0 | E59: 0 | F59: 0 | G59: 0 | H59: 0</t>
        </is>
      </c>
    </row>
    <row r="140">
      <c r="A140" s="2" t="inlineStr">
        <is>
          <t>Hoja10</t>
        </is>
      </c>
      <c r="B140" s="2" t="inlineStr">
        <is>
          <t>PRESUPUESTOS LINEA 8000</t>
        </is>
      </c>
      <c r="C140" s="3" t="n">
        <v>60</v>
      </c>
      <c r="D140" s="2" t="inlineStr">
        <is>
          <t>MAS/FORM. ALTO: 0</t>
        </is>
      </c>
      <c r="E140" s="2" t="inlineStr">
        <is>
          <t>D60: =C22*(C60*C47) | E60: =+D60 | F60: =C60 | G60: =D22*(F60*F47) | H60: =D22*(F60*F47)</t>
        </is>
      </c>
      <c r="F140" s="2" t="inlineStr">
        <is>
          <t>D60: 0 | E60: 0 | F60: 0 | G60: 0 | H60: 0</t>
        </is>
      </c>
    </row>
    <row r="141">
      <c r="A141" s="2" t="inlineStr">
        <is>
          <t>Hoja10</t>
        </is>
      </c>
      <c r="B141" s="2" t="inlineStr">
        <is>
          <t>PRESUPUESTOS LINEA 8000</t>
        </is>
      </c>
      <c r="C141" s="3" t="n">
        <v>61</v>
      </c>
      <c r="D141" s="2" t="inlineStr"/>
      <c r="E141" s="2" t="inlineStr">
        <is>
          <t>D61: =SUM(D47:D60) | E61: =SUM(E47:E60) | G61: =SUM(G47:G60) | H61: =SUM(H47:H60)</t>
        </is>
      </c>
      <c r="F141" s="2" t="inlineStr">
        <is>
          <t>D61: 159850.487 | E61: 280568.487 | G61: 164799.8783 | H61: 288222.487</t>
        </is>
      </c>
    </row>
    <row r="142">
      <c r="A142" s="2" t="inlineStr">
        <is>
          <t>Hoja10</t>
        </is>
      </c>
      <c r="B142" s="2" t="inlineStr">
        <is>
          <t>PRESUPUESTOS LINEA 8000</t>
        </is>
      </c>
      <c r="C142" s="3" t="n">
        <v>62</v>
      </c>
      <c r="D142" s="2" t="inlineStr">
        <is>
          <t>TOTAL:</t>
        </is>
      </c>
      <c r="E142" s="2" t="inlineStr">
        <is>
          <t>D62: =CEILING(((+D61*10)/100)+D61,1000) | E62: =CEILING(((+E61*10)/100)+E61,1000) | G62: =CEILING(((+G61*10)/100)+G61,1000) | H62: =CEILING(((+H61*10)/100)+H61,1000)</t>
        </is>
      </c>
      <c r="F142" s="2" t="inlineStr">
        <is>
          <t>D62: 176000 | E62: 309000 | G62: 182000 | H62: 318000</t>
        </is>
      </c>
    </row>
    <row r="143">
      <c r="A143" s="2" t="inlineStr">
        <is>
          <t>Hoja10</t>
        </is>
      </c>
      <c r="B143" s="2" t="inlineStr">
        <is>
          <t>PRESUPUESTOS LINEA 8000</t>
        </is>
      </c>
      <c r="C143" s="3" t="n">
        <v>65</v>
      </c>
      <c r="D143" s="2" t="inlineStr"/>
      <c r="E143" s="2" t="inlineStr">
        <is>
          <t>E65: =CEILING(I65*10%+I65,1000) | G65: =CEILING(G62*10%+G62,1000) | I65: =CEILING(G65*10%+G65,1000)</t>
        </is>
      </c>
      <c r="F143" s="2" t="inlineStr">
        <is>
          <t>E65: 245000 | G65: 201000 | I65: 222000</t>
        </is>
      </c>
    </row>
    <row r="144">
      <c r="A144" s="2" t="inlineStr">
        <is>
          <t>Hoja11</t>
        </is>
      </c>
      <c r="B144" s="2" t="inlineStr">
        <is>
          <t>CELOSIAS</t>
        </is>
      </c>
      <c r="C144" s="3" t="n">
        <v>46</v>
      </c>
      <c r="D144" s="2" t="inlineStr">
        <is>
          <t>TRABAJO: CELOSIAS 1</t>
        </is>
      </c>
      <c r="E144" s="2" t="inlineStr">
        <is>
          <t>D46: =VLOOKUP(C46,A18:B19,2) | F46: =C46 | G46: =D46</t>
        </is>
      </c>
      <c r="F144" s="2" t="inlineStr">
        <is>
          <t>D46: CELOSIAS | F46: 1 | G46: CELOSIAS</t>
        </is>
      </c>
    </row>
    <row r="145">
      <c r="A145" s="2" t="inlineStr">
        <is>
          <t>Hoja11</t>
        </is>
      </c>
      <c r="B145" s="2" t="inlineStr">
        <is>
          <t>CELOSIAS</t>
        </is>
      </c>
      <c r="C145" s="3" t="n">
        <v>48</v>
      </c>
      <c r="D145" s="2" t="inlineStr">
        <is>
          <t>AL.HORIZ: 0.4</t>
        </is>
      </c>
      <c r="E145" s="2" t="inlineStr">
        <is>
          <t>D48: =C48*(((C10+C11)*2)/6) | F48: =C48 | G48: =F48*(((D10+D11)*2)/6)</t>
        </is>
      </c>
      <c r="F145" s="2" t="inlineStr">
        <is>
          <t>D48: 1522.8 | F48: 0.4 | G48: 1786.1333</t>
        </is>
      </c>
    </row>
    <row r="146">
      <c r="A146" s="2" t="inlineStr">
        <is>
          <t>Hoja11</t>
        </is>
      </c>
      <c r="B146" s="2" t="inlineStr">
        <is>
          <t>CELOSIAS</t>
        </is>
      </c>
      <c r="C146" s="3" t="n">
        <v>49</v>
      </c>
      <c r="D146" s="2" t="inlineStr">
        <is>
          <t>AL.VERT: 0.4</t>
        </is>
      </c>
      <c r="E146" s="2" t="inlineStr">
        <is>
          <t>D49: =C49*(((C10+C11)*2)/6) | F49: =C49 | G49: =F49*(((D10+D11)*2)/6)</t>
        </is>
      </c>
      <c r="F146" s="2" t="inlineStr">
        <is>
          <t>D49: 1522.8 | F49: 0.4 | G49: 1786.1333</t>
        </is>
      </c>
    </row>
    <row r="147">
      <c r="A147" s="2" t="inlineStr">
        <is>
          <t>Hoja11</t>
        </is>
      </c>
      <c r="B147" s="2" t="inlineStr">
        <is>
          <t>CELOSIAS</t>
        </is>
      </c>
      <c r="C147" s="3" t="n">
        <v>50</v>
      </c>
      <c r="D147" s="2" t="inlineStr">
        <is>
          <t>VIDRIO: 6</t>
        </is>
      </c>
      <c r="E147" s="2" t="inlineStr">
        <is>
          <t>D50: =(C48*C49)*VLOOKUP(C50,F17:H24,3) | F50: =C50 | G50: =(F48*F49)*VLOOKUP(F50,F17:H24,3)</t>
        </is>
      </c>
      <c r="F147" s="2" t="inlineStr">
        <is>
          <t>D50: 3024.0 | F50: 6 | G50: 3024.0</t>
        </is>
      </c>
    </row>
    <row r="148">
      <c r="A148" s="2" t="inlineStr">
        <is>
          <t>Hoja11</t>
        </is>
      </c>
      <c r="B148" s="2" t="inlineStr">
        <is>
          <t>CELOSIAS</t>
        </is>
      </c>
      <c r="C148" s="3" t="n">
        <v>51</v>
      </c>
      <c r="D148" s="2" t="inlineStr">
        <is>
          <t>ASPAS   : 4</t>
        </is>
      </c>
      <c r="E148" s="2" t="inlineStr">
        <is>
          <t>D51: =VLOOKUP(C51,F10:H14,2) | F51: =C51 | G51: =VLOOKUP(F51,F10:H14,3)</t>
        </is>
      </c>
      <c r="F148" s="2" t="inlineStr">
        <is>
          <t>D51: 6900 | F51: 4 | G51: 8200</t>
        </is>
      </c>
    </row>
    <row r="149">
      <c r="A149" s="2" t="inlineStr">
        <is>
          <t>Hoja11</t>
        </is>
      </c>
      <c r="B149" s="2" t="inlineStr">
        <is>
          <t>CELOSIAS</t>
        </is>
      </c>
      <c r="C149" s="3" t="n">
        <v>52</v>
      </c>
      <c r="D149" s="2" t="inlineStr">
        <is>
          <t>ESC.AMAR. 3</t>
        </is>
      </c>
      <c r="E149" s="2" t="inlineStr">
        <is>
          <t>D52: =(400*C52) | F52: =C52 | G52: =(400*F52)</t>
        </is>
      </c>
      <c r="F149" s="2" t="inlineStr">
        <is>
          <t>D52: 1200 | F52: 3 | G52: 1200</t>
        </is>
      </c>
    </row>
    <row r="150">
      <c r="A150" s="2" t="inlineStr">
        <is>
          <t>Hoja11</t>
        </is>
      </c>
      <c r="B150" s="2" t="inlineStr">
        <is>
          <t>CELOSIAS</t>
        </is>
      </c>
      <c r="C150" s="3" t="n">
        <v>53</v>
      </c>
      <c r="D150" s="2" t="inlineStr">
        <is>
          <t>M.OBRA:</t>
        </is>
      </c>
      <c r="E150" s="2" t="inlineStr">
        <is>
          <t>D53: =VLOOKUP(C46,A18:C30,3) | G53: =VLOOKUP(F46,A18:C30,3)</t>
        </is>
      </c>
      <c r="F150" s="2" t="inlineStr">
        <is>
          <t>D53: 9900 | G53: 9900</t>
        </is>
      </c>
    </row>
    <row r="151">
      <c r="A151" s="2" t="inlineStr">
        <is>
          <t>Hoja11</t>
        </is>
      </c>
      <c r="B151" s="2" t="inlineStr">
        <is>
          <t>CELOSIAS</t>
        </is>
      </c>
      <c r="C151" s="3" t="n">
        <v>54</v>
      </c>
      <c r="D151" s="2" t="inlineStr">
        <is>
          <t>TUBO: MEDIDA: 0</t>
        </is>
      </c>
      <c r="E151" s="2" t="inlineStr">
        <is>
          <t>D54: =C54*(C15/6) | F54: =C54 | G54: =F54*(D15/6)</t>
        </is>
      </c>
      <c r="F151" s="2" t="inlineStr">
        <is>
          <t>D54: 0 | F54: 0 | G54: 0</t>
        </is>
      </c>
    </row>
    <row r="152">
      <c r="A152" s="2" t="inlineStr">
        <is>
          <t>Hoja11</t>
        </is>
      </c>
      <c r="B152" s="2" t="inlineStr">
        <is>
          <t>CELOSIAS</t>
        </is>
      </c>
      <c r="C152" s="3" t="n">
        <v>55</v>
      </c>
      <c r="D152" s="2" t="inlineStr">
        <is>
          <t>DOBLE ASPAS  : 0</t>
        </is>
      </c>
      <c r="E152" s="2" t="inlineStr">
        <is>
          <t>D55: =IF(C55=2,(D51+0)+D53*1,0) | F55: =C55 | G55: =IF(F55=2,(G51+0)+G53*1,0)</t>
        </is>
      </c>
      <c r="F152" s="2" t="inlineStr">
        <is>
          <t>D55: 0 | F55: 0 | G55: 0</t>
        </is>
      </c>
    </row>
    <row r="153">
      <c r="A153" s="2" t="inlineStr">
        <is>
          <t>Hoja11</t>
        </is>
      </c>
      <c r="B153" s="2" t="inlineStr">
        <is>
          <t>CELOSIAS</t>
        </is>
      </c>
      <c r="C153" s="3" t="n">
        <v>56</v>
      </c>
      <c r="D153" s="2" t="inlineStr">
        <is>
          <t>ALTO FIJO 3204 0</t>
        </is>
      </c>
      <c r="E153" s="2" t="inlineStr">
        <is>
          <t>D56: =IF(C46=2,(C48*2+C56*2)*C12/6,0) | F56: =C56 | G56: =IF(C46=2,(C48*2+C56*2)*D12/6,0)</t>
        </is>
      </c>
      <c r="F153" s="2" t="inlineStr">
        <is>
          <t>D56: 0 | F56: 0 | G56: 0</t>
        </is>
      </c>
    </row>
    <row r="154">
      <c r="A154" s="2" t="inlineStr">
        <is>
          <t>Hoja11</t>
        </is>
      </c>
      <c r="B154" s="2" t="inlineStr">
        <is>
          <t>CELOSIAS</t>
        </is>
      </c>
      <c r="C154" s="3" t="n">
        <v>57</v>
      </c>
      <c r="D154" s="2" t="inlineStr"/>
      <c r="E154" s="2" t="inlineStr">
        <is>
          <t>D57: =SUM(D48:D56) | G57: =SUM(G48:G56)</t>
        </is>
      </c>
      <c r="F154" s="2" t="inlineStr">
        <is>
          <t>D57: 24069.6 | G57: 25896.2667</t>
        </is>
      </c>
    </row>
    <row r="155">
      <c r="A155" s="2" t="inlineStr">
        <is>
          <t>Hoja11</t>
        </is>
      </c>
      <c r="B155" s="2" t="inlineStr">
        <is>
          <t>CELOSIAS</t>
        </is>
      </c>
      <c r="C155" s="3" t="n">
        <v>58</v>
      </c>
      <c r="D155" s="2" t="inlineStr">
        <is>
          <t>TOTAL:</t>
        </is>
      </c>
      <c r="E155" s="2" t="inlineStr">
        <is>
          <t>D58: =CEILING(((+D57*50)/100)+D57,1000) | G58: =CEILING(((+G57*50)/100)+G57,1000)</t>
        </is>
      </c>
      <c r="F155" s="2" t="inlineStr">
        <is>
          <t>D58: 37000 | G58: 39000</t>
        </is>
      </c>
    </row>
    <row r="156">
      <c r="A156" s="2" t="inlineStr">
        <is>
          <t>Hoja11</t>
        </is>
      </c>
      <c r="B156" s="2" t="inlineStr">
        <is>
          <t>CELOSIAS</t>
        </is>
      </c>
      <c r="C156" s="3" t="n">
        <v>61</v>
      </c>
      <c r="D156" s="2" t="inlineStr"/>
      <c r="E156" s="2" t="inlineStr">
        <is>
          <t>G61: =CEILING(G58*10%+G58,1000)</t>
        </is>
      </c>
      <c r="F156" s="2" t="inlineStr">
        <is>
          <t>G61: 43000</t>
        </is>
      </c>
    </row>
    <row r="157">
      <c r="A157" s="2" t="inlineStr">
        <is>
          <t>Hoja12</t>
        </is>
      </c>
      <c r="B157" s="2" t="inlineStr">
        <is>
          <t>PRESUPUESTOS LINEA 7000</t>
        </is>
      </c>
      <c r="C157" s="3" t="n">
        <v>46</v>
      </c>
      <c r="D157" s="2" t="inlineStr">
        <is>
          <t>TRABAJO: L-7000 2</t>
        </is>
      </c>
      <c r="E157" s="2" t="inlineStr">
        <is>
          <t>F46: =C46</t>
        </is>
      </c>
      <c r="F157" s="2" t="inlineStr">
        <is>
          <t>F46: 2</t>
        </is>
      </c>
    </row>
    <row r="158">
      <c r="A158" s="2" t="inlineStr">
        <is>
          <t>Hoja12</t>
        </is>
      </c>
      <c r="B158" s="2" t="inlineStr">
        <is>
          <t>PRESUPUESTOS LINEA 7000</t>
        </is>
      </c>
      <c r="C158" s="3" t="n">
        <v>48</v>
      </c>
      <c r="D158" s="2" t="inlineStr">
        <is>
          <t>AL.HORIZ: 1.6</t>
        </is>
      </c>
      <c r="E158" s="2" t="inlineStr">
        <is>
          <t>D48: =C48*((C10+C11+C13+C14)/6) | F48: =C48 | G48: =F48*((D10+D11+D13+D14)/6)</t>
        </is>
      </c>
      <c r="F158" s="2" t="inlineStr">
        <is>
          <t>D48: 13238.6667 | F48: 1.6 | G48: 15526.9333</t>
        </is>
      </c>
    </row>
    <row r="159">
      <c r="A159" s="2" t="inlineStr">
        <is>
          <t>Hoja12</t>
        </is>
      </c>
      <c r="B159" s="2" t="inlineStr">
        <is>
          <t>PRESUPUESTOS LINEA 7000</t>
        </is>
      </c>
      <c r="C159" s="3" t="n">
        <v>49</v>
      </c>
      <c r="D159" s="2" t="inlineStr">
        <is>
          <t>AL.VERT: 2</t>
        </is>
      </c>
      <c r="E159" s="2" t="inlineStr">
        <is>
          <t>D49: =2*(+C49*((C12+C15+C16)/6.05)) | F49: =C49 | G49: =2*(+F49*((D12+D15+D16)/6))</t>
        </is>
      </c>
      <c r="F159" s="2" t="inlineStr">
        <is>
          <t>D49: 21994.7107 | F49: 2 | G49: 26011.3333</t>
        </is>
      </c>
    </row>
    <row r="160">
      <c r="A160" s="2" t="inlineStr">
        <is>
          <t>Hoja12</t>
        </is>
      </c>
      <c r="B160" s="2" t="inlineStr">
        <is>
          <t>PRESUPUESTOS LINEA 7000</t>
        </is>
      </c>
      <c r="C160" s="3" t="n">
        <v>50</v>
      </c>
      <c r="D160" s="2" t="inlineStr">
        <is>
          <t>VIDRIO: 6</t>
        </is>
      </c>
      <c r="E160" s="2" t="inlineStr">
        <is>
          <t>D50: =(C48*(C49-(C60+C61)))*VLOOKUP(C50,F17:H25,3) | F50: =C50 | G50: =(F48*F49)*VLOOKUP(F50,F17:H25,3)</t>
        </is>
      </c>
      <c r="F160" s="2" t="inlineStr">
        <is>
          <t>D50: 22000 | F50: 6 | G50: 22000</t>
        </is>
      </c>
    </row>
    <row r="161">
      <c r="A161" s="2" t="inlineStr">
        <is>
          <t>Hoja12</t>
        </is>
      </c>
      <c r="B161" s="2" t="inlineStr">
        <is>
          <t>PRESUPUESTOS LINEA 7000</t>
        </is>
      </c>
      <c r="C161" s="3" t="n">
        <v>51</v>
      </c>
      <c r="D161" s="2" t="inlineStr">
        <is>
          <t>BURLETE:</t>
        </is>
      </c>
      <c r="E161" s="2" t="inlineStr">
        <is>
          <t>D51: =((C48*2)+(C49*4))*G10 | G51: =((F48*2)+(F49*4))*H10</t>
        </is>
      </c>
      <c r="F161" s="2" t="inlineStr">
        <is>
          <t>D51: 1904.0 | G51: 1904.0</t>
        </is>
      </c>
    </row>
    <row r="162">
      <c r="A162" s="2" t="inlineStr">
        <is>
          <t>Hoja12</t>
        </is>
      </c>
      <c r="B162" s="2" t="inlineStr">
        <is>
          <t>PRESUPUESTOS LINEA 7000</t>
        </is>
      </c>
      <c r="C162" s="3" t="n">
        <v>52</v>
      </c>
      <c r="D162" s="2" t="inlineStr">
        <is>
          <t>FELPA:</t>
        </is>
      </c>
      <c r="E162" s="2" t="inlineStr">
        <is>
          <t>D52: =((C48*2)+(C49*4))*(1+0.1)*G11 | G52: =((F48*2)+(F49*4))*(1+0.1)*H11</t>
        </is>
      </c>
      <c r="F162" s="2" t="inlineStr">
        <is>
          <t>D52: 1355.2 | G52: 1848</t>
        </is>
      </c>
    </row>
    <row r="163">
      <c r="A163" s="2" t="inlineStr">
        <is>
          <t>Hoja12</t>
        </is>
      </c>
      <c r="B163" s="2" t="inlineStr">
        <is>
          <t>PRESUPUESTOS LINEA 7000</t>
        </is>
      </c>
      <c r="C163" s="3" t="n">
        <v>53</v>
      </c>
      <c r="D163" s="2" t="inlineStr">
        <is>
          <t>RODAM.: 4</t>
        </is>
      </c>
      <c r="E163" s="2" t="inlineStr">
        <is>
          <t>D53: =C53*G12 | F53: =C53 | G53: =F53*H12</t>
        </is>
      </c>
      <c r="F163" s="2" t="inlineStr">
        <is>
          <t>D53: 1764 | F53: 4 | G53: 1764</t>
        </is>
      </c>
    </row>
    <row r="164">
      <c r="A164" s="2" t="inlineStr">
        <is>
          <t>Hoja12</t>
        </is>
      </c>
      <c r="B164" s="2" t="inlineStr">
        <is>
          <t>PRESUPUESTOS LINEA 7000</t>
        </is>
      </c>
      <c r="C164" s="3" t="n">
        <v>54</v>
      </c>
      <c r="D164" s="2" t="inlineStr">
        <is>
          <t>PESTILLOS 2</t>
        </is>
      </c>
      <c r="E164" s="2" t="inlineStr">
        <is>
          <t>D54: =C54*G13 | F54: =C54 | G54: =F54*H13</t>
        </is>
      </c>
      <c r="F164" s="2" t="inlineStr">
        <is>
          <t>D54: 3466 | F54: 2 | G54: 3466</t>
        </is>
      </c>
    </row>
    <row r="165">
      <c r="A165" s="2" t="inlineStr">
        <is>
          <t>Hoja12</t>
        </is>
      </c>
      <c r="B165" s="2" t="inlineStr">
        <is>
          <t>PRESUPUESTOS LINEA 7000</t>
        </is>
      </c>
      <c r="C165" s="3" t="n">
        <v>55</v>
      </c>
      <c r="D165" s="2" t="inlineStr">
        <is>
          <t>M.OBRA:</t>
        </is>
      </c>
      <c r="E165" s="2" t="inlineStr">
        <is>
          <t>D55: =VLOOKUP(C46,A28:C30,3) | G55: =VLOOKUP(F46,A28:C30,3)</t>
        </is>
      </c>
      <c r="F165" s="2" t="inlineStr">
        <is>
          <t>D55: 30800 | G55: 30800</t>
        </is>
      </c>
    </row>
    <row r="166">
      <c r="A166" s="2" t="inlineStr">
        <is>
          <t>Hoja12</t>
        </is>
      </c>
      <c r="B166" s="2" t="inlineStr">
        <is>
          <t>PRESUPUESTOS LINEA 7000</t>
        </is>
      </c>
      <c r="C166" s="3" t="n">
        <v>56</v>
      </c>
      <c r="D166" s="2" t="inlineStr">
        <is>
          <t>PALILLO: Si=1/No=0 0</t>
        </is>
      </c>
      <c r="E166" s="2" t="inlineStr">
        <is>
          <t>D56: =C56*(C48*(C17/6)+2*(C48*G10)) | F56: =C56 | G56: =F56*(F48*(D17/6)+2*(F48*H10))</t>
        </is>
      </c>
      <c r="F166" s="2" t="inlineStr">
        <is>
          <t>D56: 0 | F56: 0 | G56: 0</t>
        </is>
      </c>
    </row>
    <row r="167">
      <c r="A167" s="2" t="inlineStr">
        <is>
          <t>Hoja12</t>
        </is>
      </c>
      <c r="B167" s="2" t="inlineStr">
        <is>
          <t>PRESUPUESTOS LINEA 7000</t>
        </is>
      </c>
      <c r="C167" s="3" t="n">
        <v>57</v>
      </c>
      <c r="D167" s="2" t="inlineStr">
        <is>
          <t>III HOJA:</t>
        </is>
      </c>
      <c r="E167" s="2" t="inlineStr">
        <is>
          <t>D57: =IF(C46=3,((C49*2)*(C15/4.6))+(C49*2)*G10,0) | G57: =IF(F46=3,((F49*2)*(D15/6))+(F49*2)*H10,0)</t>
        </is>
      </c>
      <c r="F167" s="2" t="inlineStr">
        <is>
          <t>D57: 0 | G57: 0</t>
        </is>
      </c>
    </row>
    <row r="168">
      <c r="A168" s="2" t="inlineStr">
        <is>
          <t>Hoja12</t>
        </is>
      </c>
      <c r="B168" s="2" t="inlineStr">
        <is>
          <t>PRESUPUESTOS LINEA 7000</t>
        </is>
      </c>
      <c r="C168" s="3" t="n">
        <v>58</v>
      </c>
      <c r="D168" s="2" t="inlineStr">
        <is>
          <t>IV HOJA:</t>
        </is>
      </c>
      <c r="E168" s="2" t="inlineStr">
        <is>
          <t>D58: =IF(C46=4,D49+((C18/4.6*C49)+((C49*4)*G11)+((C49*4)*G10)),0) | G58: =IF(C46=4,G49+((D18/4.6*C49)+((C49*4)*H11)+((C49*4)*H10)),0)</t>
        </is>
      </c>
      <c r="F168" s="2" t="inlineStr">
        <is>
          <t>D58: 0 | G58: 0</t>
        </is>
      </c>
    </row>
    <row r="169">
      <c r="A169" s="2" t="inlineStr">
        <is>
          <t>Hoja12</t>
        </is>
      </c>
      <c r="B169" s="2" t="inlineStr">
        <is>
          <t>PRESUPUESTOS LINEA 7000</t>
        </is>
      </c>
      <c r="C169" s="3" t="n">
        <v>59</v>
      </c>
      <c r="D169" s="2" t="inlineStr">
        <is>
          <t>TUBO: MEDIDA: 0</t>
        </is>
      </c>
      <c r="E169" s="2" t="inlineStr">
        <is>
          <t>D59: =C59*(C25/6) | F59: =C59 | G59: =F59*(D25/6)</t>
        </is>
      </c>
      <c r="F169" s="2" t="inlineStr">
        <is>
          <t>D59: 0 | F59: 0 | G59: 0</t>
        </is>
      </c>
    </row>
    <row r="170">
      <c r="A170" s="2" t="inlineStr">
        <is>
          <t>Hoja12</t>
        </is>
      </c>
      <c r="B170" s="2" t="inlineStr">
        <is>
          <t>PRESUPUESTOS LINEA 7000</t>
        </is>
      </c>
      <c r="C170" s="3" t="n">
        <v>60</v>
      </c>
      <c r="D170" s="2" t="inlineStr">
        <is>
          <t>PLACA: ALTO: 0</t>
        </is>
      </c>
      <c r="E170" s="2" t="inlineStr">
        <is>
          <t>D60: =C23*(C60*C48) | F60: =C60 | G60: =D23*(F60*F48)</t>
        </is>
      </c>
      <c r="F170" s="2" t="inlineStr">
        <is>
          <t>D60: 0 | F60: 0 | G60: 0</t>
        </is>
      </c>
    </row>
    <row r="171">
      <c r="A171" s="2" t="inlineStr">
        <is>
          <t>Hoja12</t>
        </is>
      </c>
      <c r="B171" s="2" t="inlineStr">
        <is>
          <t>PRESUPUESTOS LINEA 7000</t>
        </is>
      </c>
      <c r="C171" s="3" t="n">
        <v>61</v>
      </c>
      <c r="D171" s="2" t="inlineStr">
        <is>
          <t>MAS/FORM. ALTO: 0</t>
        </is>
      </c>
      <c r="E171" s="2" t="inlineStr">
        <is>
          <t>D61: =C22*(C61*C48) | F61: =C61 | G61: =D22*(F61*F48)</t>
        </is>
      </c>
      <c r="F171" s="2" t="inlineStr">
        <is>
          <t>D61: 0 | F61: 0 | G61: 0</t>
        </is>
      </c>
    </row>
    <row r="172">
      <c r="A172" s="2" t="inlineStr">
        <is>
          <t>Hoja12</t>
        </is>
      </c>
      <c r="B172" s="2" t="inlineStr">
        <is>
          <t>PRESUPUESTOS LINEA 7000</t>
        </is>
      </c>
      <c r="C172" s="3" t="n">
        <v>62</v>
      </c>
      <c r="D172" s="2" t="inlineStr"/>
      <c r="E172" s="2" t="inlineStr">
        <is>
          <t>D62: =SUM(D48:D61) | G62: =SUM(G48:G61)</t>
        </is>
      </c>
      <c r="F172" s="2" t="inlineStr">
        <is>
          <t>D62: 96522.5774 | G62: 103320.2667</t>
        </is>
      </c>
    </row>
    <row r="173">
      <c r="A173" s="2" t="inlineStr">
        <is>
          <t>Hoja12</t>
        </is>
      </c>
      <c r="B173" s="2" t="inlineStr">
        <is>
          <t>PRESUPUESTOS LINEA 7000</t>
        </is>
      </c>
      <c r="C173" s="3" t="n">
        <v>63</v>
      </c>
      <c r="D173" s="2" t="inlineStr">
        <is>
          <t>TOTAL:</t>
        </is>
      </c>
      <c r="E173" s="2" t="inlineStr">
        <is>
          <t>D63: =CEILING(((+D62*80)/100)+D62,1000) | G63: =CEILING(((+G62*80)/100)+G62,1000)</t>
        </is>
      </c>
      <c r="F173" s="2" t="inlineStr">
        <is>
          <t>D63: 174000 | G63: 186000</t>
        </is>
      </c>
    </row>
    <row r="174">
      <c r="A174" s="2" t="inlineStr">
        <is>
          <t>Hoja12</t>
        </is>
      </c>
      <c r="B174" s="2" t="inlineStr">
        <is>
          <t>PRESUPUESTOS LINEA 7000</t>
        </is>
      </c>
      <c r="C174" s="3" t="n">
        <v>66</v>
      </c>
      <c r="D174" s="2" t="inlineStr"/>
      <c r="E174" s="2" t="inlineStr">
        <is>
          <t>G66: =CEILING(G63*10%+G63,1000)</t>
        </is>
      </c>
      <c r="F174" s="2" t="inlineStr">
        <is>
          <t>G66: 205000</t>
        </is>
      </c>
    </row>
    <row r="175">
      <c r="A175" s="2" t="inlineStr">
        <is>
          <t>Hoja13</t>
        </is>
      </c>
      <c r="B175" s="2" t="inlineStr">
        <is>
          <t>PRESUPUESTO VENTANA DE ABATIR</t>
        </is>
      </c>
      <c r="C175" s="3" t="n">
        <v>41</v>
      </c>
      <c r="D175" s="2" t="inlineStr">
        <is>
          <t>ALTO: 5007: 0.5</t>
        </is>
      </c>
      <c r="E175" s="2" t="inlineStr">
        <is>
          <t>D41: =C41*(C10/6)*2 | F41: =C41*(D10/6)*2</t>
        </is>
      </c>
      <c r="F175" s="2" t="inlineStr">
        <is>
          <t>D41: 1916.6667 | F41: 2155</t>
        </is>
      </c>
    </row>
    <row r="176">
      <c r="A176" s="2" t="inlineStr">
        <is>
          <t>Hoja13</t>
        </is>
      </c>
      <c r="B176" s="2" t="inlineStr">
        <is>
          <t>PRESUPUESTO VENTANA DE ABATIR</t>
        </is>
      </c>
      <c r="C176" s="3" t="n">
        <v>42</v>
      </c>
      <c r="D176" s="2" t="inlineStr">
        <is>
          <t>ANCHO: 5007: 0.5</t>
        </is>
      </c>
      <c r="E176" s="2" t="inlineStr">
        <is>
          <t>D42: =C42*(C10/6)*2 | F42: =C42*(D10/6)*2</t>
        </is>
      </c>
      <c r="F176" s="2" t="inlineStr">
        <is>
          <t>D42: 1916.6667 | F42: 2155</t>
        </is>
      </c>
    </row>
    <row r="177">
      <c r="A177" s="2" t="inlineStr">
        <is>
          <t>Hoja13</t>
        </is>
      </c>
      <c r="B177" s="2" t="inlineStr">
        <is>
          <t>PRESUPUESTO VENTANA DE ABATIR</t>
        </is>
      </c>
      <c r="C177" s="3" t="n">
        <v>43</v>
      </c>
      <c r="D177" s="2" t="inlineStr">
        <is>
          <t>VIDRIO: 2</t>
        </is>
      </c>
      <c r="E177" s="2" t="inlineStr">
        <is>
          <t>D43: =(C41*C42)*VLOOKUP(C43,F17:H24,3) | F43: =(C41*C42)*VLOOKUP(C43,F17:H24,3)</t>
        </is>
      </c>
      <c r="F177" s="2" t="inlineStr">
        <is>
          <t>D43: 5300 | F43: 5300</t>
        </is>
      </c>
    </row>
    <row r="178">
      <c r="A178" s="2" t="inlineStr">
        <is>
          <t>Hoja13</t>
        </is>
      </c>
      <c r="B178" s="2" t="inlineStr">
        <is>
          <t>PRESUPUESTO VENTANA DE ABATIR</t>
        </is>
      </c>
      <c r="C178" s="3" t="n">
        <v>44</v>
      </c>
      <c r="D178" s="2" t="inlineStr">
        <is>
          <t>BURLETE:</t>
        </is>
      </c>
      <c r="E178" s="2" t="inlineStr">
        <is>
          <t>D44: =((C41*2)+(C42*2))*G10 | F44: =((C41*2)+(C42*2))*H10</t>
        </is>
      </c>
      <c r="F178" s="2" t="inlineStr">
        <is>
          <t>D44: 340 | F44: 340</t>
        </is>
      </c>
    </row>
    <row r="179">
      <c r="A179" s="2" t="inlineStr">
        <is>
          <t>Hoja13</t>
        </is>
      </c>
      <c r="B179" s="2" t="inlineStr">
        <is>
          <t>PRESUPUESTO VENTANA DE ABATIR</t>
        </is>
      </c>
      <c r="C179" s="3" t="n">
        <v>45</v>
      </c>
      <c r="D179" s="2" t="inlineStr">
        <is>
          <t>FELPA:</t>
        </is>
      </c>
      <c r="E179" s="2" t="inlineStr">
        <is>
          <t>D45: =((C41*2)+(C42*2))*(1+0.1)*G11 | F45: =((C41*2)+(C42*2))*(1+0.1)*H11</t>
        </is>
      </c>
      <c r="F179" s="2" t="inlineStr">
        <is>
          <t>D45: 242.0 | F45: 242.0</t>
        </is>
      </c>
    </row>
    <row r="180">
      <c r="A180" s="2" t="inlineStr">
        <is>
          <t>Hoja13</t>
        </is>
      </c>
      <c r="B180" s="2" t="inlineStr">
        <is>
          <t>PRESUPUESTO VENTANA DE ABATIR</t>
        </is>
      </c>
      <c r="C180" s="3" t="n">
        <v>46</v>
      </c>
      <c r="D180" s="2" t="inlineStr">
        <is>
          <t>BISAGRAS CANT: 3</t>
        </is>
      </c>
      <c r="E180" s="2" t="inlineStr">
        <is>
          <t>D46: =C46*G13 | F46: =C46*H13</t>
        </is>
      </c>
      <c r="F180" s="2" t="inlineStr">
        <is>
          <t>D46: 1890 | F46: 2490</t>
        </is>
      </c>
    </row>
    <row r="181">
      <c r="A181" s="2" t="inlineStr">
        <is>
          <t>Hoja13</t>
        </is>
      </c>
      <c r="B181" s="2" t="inlineStr">
        <is>
          <t>PRESUPUESTO VENTANA DE ABATIR</t>
        </is>
      </c>
      <c r="C181" s="3" t="n">
        <v>47</v>
      </c>
      <c r="D181" s="2" t="inlineStr">
        <is>
          <t>PESTILLOS CANT: 1</t>
        </is>
      </c>
      <c r="E181" s="2" t="inlineStr">
        <is>
          <t>D47: =C47*G12 | F47: =C47*H12</t>
        </is>
      </c>
      <c r="F181" s="2" t="inlineStr">
        <is>
          <t>D47: 650 | F47: 850</t>
        </is>
      </c>
    </row>
    <row r="182">
      <c r="A182" s="2" t="inlineStr">
        <is>
          <t>Hoja13</t>
        </is>
      </c>
      <c r="B182" s="2" t="inlineStr">
        <is>
          <t>PRESUPUESTO VENTANA DE ABATIR</t>
        </is>
      </c>
      <c r="C182" s="3" t="n">
        <v>48</v>
      </c>
      <c r="D182" s="2" t="inlineStr">
        <is>
          <t>M.OBRA:</t>
        </is>
      </c>
      <c r="E182" s="2" t="inlineStr">
        <is>
          <t>D48: =C20 | F48: =C20</t>
        </is>
      </c>
      <c r="F182" s="2" t="inlineStr">
        <is>
          <t>D48: 18700 | F48: 18700</t>
        </is>
      </c>
    </row>
    <row r="183">
      <c r="A183" s="2" t="inlineStr">
        <is>
          <t>Hoja13</t>
        </is>
      </c>
      <c r="B183" s="2" t="inlineStr">
        <is>
          <t>PRESUPUESTO VENTANA DE ABATIR</t>
        </is>
      </c>
      <c r="C183" s="3" t="n">
        <v>49</v>
      </c>
      <c r="D183" s="2" t="inlineStr">
        <is>
          <t>M.7095 Si=1/No=0 0</t>
        </is>
      </c>
      <c r="E183" s="2" t="inlineStr">
        <is>
          <t>D49: =IF(C49=1,(+C41*2+C42*2)*C11/6,0) | F49: =IF(C49=1,(+C41*2+C42*2)*D11/6,0)</t>
        </is>
      </c>
      <c r="F183" s="2" t="inlineStr">
        <is>
          <t>D49: 0 | F49: 0</t>
        </is>
      </c>
    </row>
    <row r="184">
      <c r="A184" s="2" t="inlineStr">
        <is>
          <t>Hoja13</t>
        </is>
      </c>
      <c r="B184" s="2" t="inlineStr">
        <is>
          <t>PRESUPUESTO VENTANA DE ABATIR</t>
        </is>
      </c>
      <c r="C184" s="3" t="n">
        <v>50</v>
      </c>
      <c r="D184" s="2" t="inlineStr">
        <is>
          <t>M.30/60 Si=1/No=0 0</t>
        </is>
      </c>
      <c r="E184" s="2" t="inlineStr">
        <is>
          <t>D50: =IF(C50=1,(+C41*2+C42*2)*C14/6,0) | F50: =IF(C50=1,(+C41*2+C42*2)*D14/6,0)</t>
        </is>
      </c>
      <c r="F184" s="2" t="inlineStr">
        <is>
          <t>D50: 0 | F50: 0</t>
        </is>
      </c>
    </row>
    <row r="185">
      <c r="A185" s="2" t="inlineStr">
        <is>
          <t>Hoja13</t>
        </is>
      </c>
      <c r="B185" s="2" t="inlineStr">
        <is>
          <t>PRESUPUESTO VENTANA DE ABATIR</t>
        </is>
      </c>
      <c r="C185" s="3" t="n">
        <v>51</v>
      </c>
      <c r="D185" s="2" t="inlineStr">
        <is>
          <t>TUBO: MEDIDA: 0</t>
        </is>
      </c>
      <c r="E185" s="2" t="inlineStr">
        <is>
          <t>D51: =C51*(C14/6) | F51: =C51*(D14/6)</t>
        </is>
      </c>
      <c r="F185" s="2" t="inlineStr">
        <is>
          <t>D51: 0 | F51: 0</t>
        </is>
      </c>
    </row>
    <row r="186">
      <c r="A186" s="2" t="inlineStr">
        <is>
          <t>Hoja13</t>
        </is>
      </c>
      <c r="B186" s="2" t="inlineStr">
        <is>
          <t>PRESUPUESTO VENTANA DE ABATIR</t>
        </is>
      </c>
      <c r="C186" s="3" t="n">
        <v>52</v>
      </c>
      <c r="D186" s="2" t="inlineStr">
        <is>
          <t>BR.EXT: CANTIDAD: 0</t>
        </is>
      </c>
      <c r="E186" s="2" t="inlineStr">
        <is>
          <t>D52: =C52*G14 | F52: =C52*H14</t>
        </is>
      </c>
      <c r="F186" s="2" t="inlineStr">
        <is>
          <t>D52: 0 | F52: 0</t>
        </is>
      </c>
    </row>
    <row r="187">
      <c r="A187" s="2" t="inlineStr">
        <is>
          <t>Hoja13</t>
        </is>
      </c>
      <c r="B187" s="2" t="inlineStr">
        <is>
          <t>PRESUPUESTO VENTANA DE ABATIR</t>
        </is>
      </c>
      <c r="C187" s="3" t="n">
        <v>53</v>
      </c>
      <c r="D187" s="2" t="inlineStr">
        <is>
          <t>A.AMARRE CANTIDAD: 4</t>
        </is>
      </c>
      <c r="E187" s="2" t="inlineStr">
        <is>
          <t>D53: =C53*C13 | F53: =C53*D13</t>
        </is>
      </c>
      <c r="F187" s="2" t="inlineStr">
        <is>
          <t>D53: 1320 | F53: 1556</t>
        </is>
      </c>
    </row>
    <row r="188">
      <c r="A188" s="2" t="inlineStr">
        <is>
          <t>Hoja13</t>
        </is>
      </c>
      <c r="B188" s="2" t="inlineStr">
        <is>
          <t>PRESUPUESTO VENTANA DE ABATIR</t>
        </is>
      </c>
      <c r="C188" s="3" t="n">
        <v>54</v>
      </c>
      <c r="D188" s="2" t="inlineStr">
        <is>
          <t>T.T.R.S:</t>
        </is>
      </c>
      <c r="E188" s="2" t="inlineStr">
        <is>
          <t>D54: =C18 | F54: =C18</t>
        </is>
      </c>
      <c r="F188" s="2" t="inlineStr">
        <is>
          <t>D54: 2000 | F54: 2000</t>
        </is>
      </c>
    </row>
    <row r="189">
      <c r="A189" s="2" t="inlineStr">
        <is>
          <t>Hoja13</t>
        </is>
      </c>
      <c r="B189" s="2" t="inlineStr">
        <is>
          <t>PRESUPUESTO VENTANA DE ABATIR</t>
        </is>
      </c>
      <c r="C189" s="3" t="n">
        <v>55</v>
      </c>
      <c r="D189" s="2" t="inlineStr">
        <is>
          <t>JUNQUILLO</t>
        </is>
      </c>
      <c r="E189" s="2" t="inlineStr">
        <is>
          <t>D55: =((C41*2)+(C42*2))*C12/6 | F55: =((C41*2)+(C42*2))*D12/6</t>
        </is>
      </c>
      <c r="F189" s="2" t="inlineStr">
        <is>
          <t>D55: 790.6667 | F55: 930</t>
        </is>
      </c>
    </row>
    <row r="190">
      <c r="A190" s="2" t="inlineStr">
        <is>
          <t>Hoja13</t>
        </is>
      </c>
      <c r="B190" s="2" t="inlineStr">
        <is>
          <t>PRESUPUESTO VENTANA DE ABATIR</t>
        </is>
      </c>
      <c r="C190" s="3" t="n">
        <v>56</v>
      </c>
      <c r="D190" s="2" t="inlineStr"/>
      <c r="E190" s="2" t="inlineStr">
        <is>
          <t>D56: =SUM(D41:D55) | F56: =SUM(F41:F55)</t>
        </is>
      </c>
      <c r="F190" s="2" t="inlineStr">
        <is>
          <t>D56: 35066 | F56: 36718</t>
        </is>
      </c>
    </row>
    <row r="191">
      <c r="A191" s="2" t="inlineStr">
        <is>
          <t>Hoja13</t>
        </is>
      </c>
      <c r="B191" s="2" t="inlineStr">
        <is>
          <t>PRESUPUESTO VENTANA DE ABATIR</t>
        </is>
      </c>
      <c r="C191" s="3" t="n">
        <v>57</v>
      </c>
      <c r="D191" s="2" t="inlineStr">
        <is>
          <t>TOTAL:</t>
        </is>
      </c>
      <c r="E191" s="2" t="inlineStr">
        <is>
          <t>D57: =CEILING(((+D56*40)/100)+D56,1000) | F57: =CEILING(((+F56*80)/100)+F56,1000)</t>
        </is>
      </c>
      <c r="F191" s="2" t="inlineStr">
        <is>
          <t>D57: 50000 | F57: 67000</t>
        </is>
      </c>
    </row>
    <row r="192">
      <c r="A192" s="2" t="inlineStr">
        <is>
          <t>Hoja13</t>
        </is>
      </c>
      <c r="B192" s="2" t="inlineStr">
        <is>
          <t>PRESUPUESTO VENTANA DE ABATIR</t>
        </is>
      </c>
      <c r="C192" s="3" t="n">
        <v>60</v>
      </c>
      <c r="D192" s="2" t="inlineStr"/>
      <c r="E192" s="2" t="inlineStr">
        <is>
          <t>D60: =CEILING(F60*10%+F60,1000) | F60: =CEILING(F57*10%+F57,1000)</t>
        </is>
      </c>
      <c r="F192" s="2" t="inlineStr">
        <is>
          <t>D60: 82000 | F60: 74000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28" customWidth="1" min="4" max="4"/>
    <col width="80" customWidth="1" min="5" max="5"/>
    <col width="18" customWidth="1" min="6" max="6"/>
  </cols>
  <sheetData>
    <row r="1">
      <c r="A1" s="1" t="inlineStr">
        <is>
          <t>Hoja</t>
        </is>
      </c>
      <c r="B1" s="1" t="inlineStr">
        <is>
          <t>Producto</t>
        </is>
      </c>
      <c r="C1" s="1" t="inlineStr">
        <is>
          <t>Celda</t>
        </is>
      </c>
      <c r="D1" s="1" t="inlineStr">
        <is>
          <t>Concepto</t>
        </is>
      </c>
      <c r="E1" s="1" t="inlineStr">
        <is>
          <t>Fórmula</t>
        </is>
      </c>
      <c r="F1" s="1" t="inlineStr">
        <is>
          <t>Valor guardado</t>
        </is>
      </c>
    </row>
    <row r="2">
      <c r="A2" s="2" t="inlineStr">
        <is>
          <t>Hoja2</t>
        </is>
      </c>
      <c r="B2" s="2" t="inlineStr">
        <is>
          <t>PRESUPUESTO SHOWER DOOR LINEA AM-12 ALUMCO</t>
        </is>
      </c>
      <c r="C2" s="2" t="inlineStr">
        <is>
          <t>D60</t>
        </is>
      </c>
      <c r="D2" s="2" t="inlineStr">
        <is>
          <t>TOTAL: TOTAL:</t>
        </is>
      </c>
      <c r="E2" s="2">
        <f>CEILING(((+D59*10)/100)+D59,1000)</f>
        <v/>
      </c>
      <c r="F2" s="3" t="n">
        <v>127000</v>
      </c>
    </row>
    <row r="3">
      <c r="A3" s="2" t="inlineStr">
        <is>
          <t>Hoja2</t>
        </is>
      </c>
      <c r="B3" s="2" t="inlineStr">
        <is>
          <t>PRESUPUESTO SHOWER DOOR LINEA AM-12 ALUMCO</t>
        </is>
      </c>
      <c r="C3" s="2" t="inlineStr">
        <is>
          <t>G60</t>
        </is>
      </c>
      <c r="D3" s="2" t="inlineStr">
        <is>
          <t>TOTAL: TOTAL:</t>
        </is>
      </c>
      <c r="E3" s="2">
        <f>CEILING(((+G59*10)/100)+G59,1000)</f>
        <v/>
      </c>
      <c r="F3" s="3" t="n">
        <v>130000</v>
      </c>
    </row>
    <row r="4">
      <c r="A4" s="2" t="inlineStr">
        <is>
          <t>Hoja2</t>
        </is>
      </c>
      <c r="B4" s="2" t="inlineStr">
        <is>
          <t>PRESUPUESTO SHOWER DOOR LINEA AM-12 ALUMCO</t>
        </is>
      </c>
      <c r="C4" s="2" t="inlineStr">
        <is>
          <t>G63</t>
        </is>
      </c>
      <c r="D4" s="2" t="inlineStr"/>
      <c r="E4" s="2">
        <f>CEILING(G60*10%+G60,1000)</f>
        <v/>
      </c>
      <c r="F4" s="3" t="n">
        <v>143000</v>
      </c>
    </row>
    <row r="5">
      <c r="A5" s="2" t="inlineStr">
        <is>
          <t>Hoja2</t>
        </is>
      </c>
      <c r="B5" s="2" t="inlineStr">
        <is>
          <t>PRESUPUESTO SHOWER DOOR LINEA AM-12 ALUMCO</t>
        </is>
      </c>
      <c r="C5" s="2" t="inlineStr">
        <is>
          <t>G66</t>
        </is>
      </c>
      <c r="D5" s="2" t="inlineStr"/>
      <c r="E5" s="2">
        <f>CEILING(G63*10%+G63,1000)</f>
        <v/>
      </c>
      <c r="F5" s="3" t="n">
        <v>158000</v>
      </c>
    </row>
    <row r="6">
      <c r="A6" s="2" t="inlineStr">
        <is>
          <t>Hoja3</t>
        </is>
      </c>
      <c r="B6" s="2" t="inlineStr">
        <is>
          <t>PRESUPUESTO VENTANA CON BRAZO EXT.</t>
        </is>
      </c>
      <c r="C6" s="2" t="inlineStr">
        <is>
          <t>D54</t>
        </is>
      </c>
      <c r="D6" s="2" t="inlineStr">
        <is>
          <t>TOTAL: TOTAL:</t>
        </is>
      </c>
      <c r="E6" s="2">
        <f>CEILING(((+D53*15)/100)+D53,1000)</f>
        <v/>
      </c>
      <c r="F6" s="3" t="n">
        <v>125000</v>
      </c>
    </row>
    <row r="7">
      <c r="A7" s="2" t="inlineStr">
        <is>
          <t>Hoja3</t>
        </is>
      </c>
      <c r="B7" s="2" t="inlineStr">
        <is>
          <t>PRESUPUESTO VENTANA CON BRAZO EXT.</t>
        </is>
      </c>
      <c r="C7" s="2" t="inlineStr">
        <is>
          <t>F54</t>
        </is>
      </c>
      <c r="D7" s="2" t="inlineStr">
        <is>
          <t>TOTAL:</t>
        </is>
      </c>
      <c r="E7" s="2">
        <f>CEILING(((+F53*15)/100)+F53,1000)</f>
        <v/>
      </c>
      <c r="F7" s="3" t="n">
        <v>129000</v>
      </c>
    </row>
    <row r="8">
      <c r="A8" s="2" t="inlineStr">
        <is>
          <t>Hoja3</t>
        </is>
      </c>
      <c r="B8" s="2" t="inlineStr">
        <is>
          <t>PRESUPUESTO VENTANA CON BRAZO EXT.</t>
        </is>
      </c>
      <c r="C8" s="2" t="inlineStr">
        <is>
          <t>F57</t>
        </is>
      </c>
      <c r="D8" s="2" t="inlineStr"/>
      <c r="E8" s="2">
        <f>CEILING(D54*8%+D54,1000)</f>
        <v/>
      </c>
      <c r="F8" s="3" t="n">
        <v>135000</v>
      </c>
    </row>
    <row r="9">
      <c r="A9" s="2" t="inlineStr">
        <is>
          <t>Hoja3</t>
        </is>
      </c>
      <c r="B9" s="2" t="inlineStr">
        <is>
          <t>PRESUPUESTO VENTANA CON BRAZO EXT.</t>
        </is>
      </c>
      <c r="C9" s="2" t="inlineStr">
        <is>
          <t>D60</t>
        </is>
      </c>
      <c r="D9" s="2" t="inlineStr"/>
      <c r="E9" s="2">
        <f>CEILING(F54*30%+D54,1000)</f>
        <v/>
      </c>
      <c r="F9" s="3" t="n">
        <v>164000</v>
      </c>
    </row>
    <row r="10">
      <c r="A10" s="2" t="inlineStr">
        <is>
          <t>Hoja3</t>
        </is>
      </c>
      <c r="B10" s="2" t="inlineStr">
        <is>
          <t>PRESUPUESTO VENTANA CON BRAZO EXT.</t>
        </is>
      </c>
      <c r="C10" s="2" t="inlineStr">
        <is>
          <t>F60</t>
        </is>
      </c>
      <c r="D10" s="2" t="inlineStr"/>
      <c r="E10" s="2">
        <f>CEILING(F57*10%+F57,1000)</f>
        <v/>
      </c>
      <c r="F10" s="3" t="n">
        <v>149000</v>
      </c>
    </row>
    <row r="11">
      <c r="A11" s="2" t="inlineStr">
        <is>
          <t>Hoja4</t>
        </is>
      </c>
      <c r="B11" s="2" t="inlineStr">
        <is>
          <t>PRESUPUESTO CENTROS DE PUERTA</t>
        </is>
      </c>
      <c r="C11" s="2" t="inlineStr">
        <is>
          <t>D59</t>
        </is>
      </c>
      <c r="D11" s="2" t="inlineStr">
        <is>
          <t>TOTAL: TOTAL:</t>
        </is>
      </c>
      <c r="E11" s="2">
        <f>CEILING(((+D58*30)/100)+D58,1000)</f>
        <v/>
      </c>
      <c r="F11" s="3" t="n">
        <v>66000</v>
      </c>
    </row>
    <row r="12">
      <c r="A12" s="2" t="inlineStr">
        <is>
          <t>Hoja4</t>
        </is>
      </c>
      <c r="B12" s="2" t="inlineStr">
        <is>
          <t>PRESUPUESTO CENTROS DE PUERTA</t>
        </is>
      </c>
      <c r="C12" s="2" t="inlineStr">
        <is>
          <t>G59</t>
        </is>
      </c>
      <c r="D12" s="2" t="inlineStr">
        <is>
          <t>TOTAL: TOTAL:</t>
        </is>
      </c>
      <c r="E12" s="2">
        <f>CEILING(((+G58*30)/100)+G58,1000)</f>
        <v/>
      </c>
      <c r="F12" s="3" t="n">
        <v>69000</v>
      </c>
    </row>
    <row r="13">
      <c r="A13" s="2" t="inlineStr">
        <is>
          <t>Hoja4</t>
        </is>
      </c>
      <c r="B13" s="2" t="inlineStr">
        <is>
          <t>PRESUPUESTO CENTROS DE PUERTA</t>
        </is>
      </c>
      <c r="C13" s="2" t="inlineStr">
        <is>
          <t>G62</t>
        </is>
      </c>
      <c r="D13" s="2" t="inlineStr"/>
      <c r="E13" s="2">
        <f>CEILING(G59*10%+G59,1000)</f>
        <v/>
      </c>
      <c r="F13" s="3" t="n">
        <v>76000</v>
      </c>
    </row>
    <row r="14">
      <c r="A14" s="2" t="inlineStr">
        <is>
          <t>Hoja4</t>
        </is>
      </c>
      <c r="B14" s="2" t="inlineStr">
        <is>
          <t>PRESUPUESTO CENTROS DE PUERTA</t>
        </is>
      </c>
      <c r="C14" s="2" t="inlineStr">
        <is>
          <t>D65</t>
        </is>
      </c>
      <c r="D14" s="2" t="inlineStr"/>
      <c r="E14" s="2">
        <f>CEILING(G65*15%+G65,1000)</f>
        <v/>
      </c>
      <c r="F14" s="3" t="n">
        <v>97000</v>
      </c>
    </row>
    <row r="15">
      <c r="A15" s="2" t="inlineStr">
        <is>
          <t>Hoja4</t>
        </is>
      </c>
      <c r="B15" s="2" t="inlineStr">
        <is>
          <t>PRESUPUESTO CENTROS DE PUERTA</t>
        </is>
      </c>
      <c r="C15" s="2" t="inlineStr">
        <is>
          <t>G65</t>
        </is>
      </c>
      <c r="D15" s="2" t="inlineStr"/>
      <c r="E15" s="2">
        <f>CEILING(G62*10%+G62,1000)</f>
        <v/>
      </c>
      <c r="F15" s="3" t="n">
        <v>84000</v>
      </c>
    </row>
    <row r="16">
      <c r="A16" s="2" t="inlineStr">
        <is>
          <t>Hoja5</t>
        </is>
      </c>
      <c r="B16" s="2" t="inlineStr">
        <is>
          <t>PRESUPUESTO CENTROS DE PUERTA</t>
        </is>
      </c>
      <c r="C16" s="2" t="inlineStr">
        <is>
          <t>D59</t>
        </is>
      </c>
      <c r="D16" s="2" t="inlineStr">
        <is>
          <t>TOTAL: TOTAL:</t>
        </is>
      </c>
      <c r="E16" s="2">
        <f>CEILING(((+D58*20)/100)+D58,1000)</f>
        <v/>
      </c>
      <c r="F16" s="3" t="n">
        <v>95000</v>
      </c>
    </row>
    <row r="17">
      <c r="A17" s="2" t="inlineStr">
        <is>
          <t>Hoja5</t>
        </is>
      </c>
      <c r="B17" s="2" t="inlineStr">
        <is>
          <t>PRESUPUESTO CENTROS DE PUERTA</t>
        </is>
      </c>
      <c r="C17" s="2" t="inlineStr">
        <is>
          <t>G59</t>
        </is>
      </c>
      <c r="D17" s="2" t="inlineStr">
        <is>
          <t>TOTAL: TOTAL:</t>
        </is>
      </c>
      <c r="E17" s="2">
        <f>CEILING(((+G58*30)/100)+G58,1000)</f>
        <v/>
      </c>
      <c r="F17" s="3" t="n">
        <v>106000</v>
      </c>
    </row>
    <row r="18">
      <c r="A18" s="2" t="inlineStr">
        <is>
          <t>Hoja5</t>
        </is>
      </c>
      <c r="B18" s="2" t="inlineStr">
        <is>
          <t>PRESUPUESTO CENTROS DE PUERTA</t>
        </is>
      </c>
      <c r="C18" s="2" t="inlineStr">
        <is>
          <t>G62</t>
        </is>
      </c>
      <c r="D18" s="2" t="inlineStr"/>
      <c r="E18" s="2">
        <f>CEILING(G59*10%+G59,1000)</f>
        <v/>
      </c>
      <c r="F18" s="3" t="n">
        <v>117000</v>
      </c>
    </row>
    <row r="19">
      <c r="A19" s="2" t="inlineStr">
        <is>
          <t>Hoja5</t>
        </is>
      </c>
      <c r="B19" s="2" t="inlineStr">
        <is>
          <t>PRESUPUESTO CENTROS DE PUERTA</t>
        </is>
      </c>
      <c r="C19" s="2" t="inlineStr">
        <is>
          <t>G65</t>
        </is>
      </c>
      <c r="D19" s="2" t="inlineStr"/>
      <c r="E19" s="2">
        <f>CEILING(G62*10%+G62,1000)</f>
        <v/>
      </c>
      <c r="F19" s="3" t="n">
        <v>129000</v>
      </c>
    </row>
    <row r="20">
      <c r="A20" s="2" t="inlineStr">
        <is>
          <t>Hoja6</t>
        </is>
      </c>
      <c r="B20" s="2" t="inlineStr">
        <is>
          <t>PRESUPUESTOS PUERTAS TUBO 40x40 Y 40x100</t>
        </is>
      </c>
      <c r="C20" s="2" t="inlineStr">
        <is>
          <t>D55</t>
        </is>
      </c>
      <c r="D20" s="2" t="inlineStr">
        <is>
          <t>TOTAL TOTAL</t>
        </is>
      </c>
      <c r="E20" s="2">
        <f>CEILING(((+D54*20)/100)+D54,1000)</f>
        <v/>
      </c>
      <c r="F20" s="3" t="n">
        <v>180000</v>
      </c>
    </row>
    <row r="21">
      <c r="A21" s="2" t="inlineStr">
        <is>
          <t>Hoja6</t>
        </is>
      </c>
      <c r="B21" s="2" t="inlineStr">
        <is>
          <t>PRESUPUESTOS PUERTAS TUBO 40x40 Y 40x100</t>
        </is>
      </c>
      <c r="C21" s="2" t="inlineStr">
        <is>
          <t>G55</t>
        </is>
      </c>
      <c r="D21" s="2" t="inlineStr">
        <is>
          <t>TOTAL</t>
        </is>
      </c>
      <c r="E21" s="2">
        <f>CEILING(((+G54*20)/100)+G54,1000)</f>
        <v/>
      </c>
      <c r="F21" s="3" t="n">
        <v>185000</v>
      </c>
    </row>
    <row r="22">
      <c r="A22" s="2" t="inlineStr">
        <is>
          <t>Hoja6</t>
        </is>
      </c>
      <c r="B22" s="2" t="inlineStr">
        <is>
          <t>PRESUPUESTOS PUERTAS TUBO 40x40 Y 40x100</t>
        </is>
      </c>
      <c r="C22" s="2" t="inlineStr">
        <is>
          <t>G58</t>
        </is>
      </c>
      <c r="D22" s="2" t="inlineStr"/>
      <c r="E22" s="2">
        <f>CEILING(G55*10%+G55,1000)</f>
        <v/>
      </c>
      <c r="F22" s="3" t="n">
        <v>204000</v>
      </c>
    </row>
    <row r="23">
      <c r="A23" s="2" t="inlineStr">
        <is>
          <t>Hoja6</t>
        </is>
      </c>
      <c r="B23" s="2" t="inlineStr">
        <is>
          <t>PRESUPUESTOS PUERTAS TUBO 40x40 Y 40x100</t>
        </is>
      </c>
      <c r="C23" s="2" t="inlineStr">
        <is>
          <t>G61</t>
        </is>
      </c>
      <c r="D23" s="2" t="inlineStr"/>
      <c r="E23" s="2">
        <f>CEILING(G58*10%+G58,1000)</f>
        <v/>
      </c>
      <c r="F23" s="3" t="n">
        <v>225000</v>
      </c>
    </row>
    <row r="24">
      <c r="A24" s="2" t="inlineStr">
        <is>
          <t>Hoja6</t>
        </is>
      </c>
      <c r="B24" s="2" t="inlineStr">
        <is>
          <t>PRESUPUESTOS PUERTAS TUBO 40x40 Y 40x100</t>
        </is>
      </c>
      <c r="C24" s="2" t="inlineStr">
        <is>
          <t>G64</t>
        </is>
      </c>
      <c r="D24" s="2" t="inlineStr"/>
      <c r="E24" s="2">
        <f>CEILING(G61*15%+G61,1000)</f>
        <v/>
      </c>
      <c r="F24" s="3" t="n">
        <v>259000</v>
      </c>
    </row>
    <row r="25">
      <c r="A25" s="2" t="inlineStr">
        <is>
          <t>Hoja7</t>
        </is>
      </c>
      <c r="B25" s="2" t="inlineStr">
        <is>
          <t>PRESUPUESTOS LINEA 5000</t>
        </is>
      </c>
      <c r="C25" s="2" t="inlineStr">
        <is>
          <t>D53</t>
        </is>
      </c>
      <c r="D25" s="2" t="inlineStr">
        <is>
          <t>TOTAL: TOTAL:</t>
        </is>
      </c>
      <c r="E25" s="2">
        <f>CEILING(((+D52*15)/100)+D52,1000)</f>
        <v/>
      </c>
      <c r="F25" s="3" t="n">
        <v>84000</v>
      </c>
    </row>
    <row r="26">
      <c r="A26" s="2" t="inlineStr">
        <is>
          <t>Hoja7</t>
        </is>
      </c>
      <c r="B26" s="2" t="inlineStr">
        <is>
          <t>PRESUPUESTOS LINEA 5000</t>
        </is>
      </c>
      <c r="C26" s="2" t="inlineStr">
        <is>
          <t>F53</t>
        </is>
      </c>
      <c r="D26" s="2" t="inlineStr">
        <is>
          <t>TOTAL:</t>
        </is>
      </c>
      <c r="E26" s="2">
        <f>CEILING(((+F52*25)/100)+F52,1000)</f>
        <v/>
      </c>
      <c r="F26" s="3" t="n">
        <v>94000</v>
      </c>
    </row>
    <row r="27">
      <c r="A27" s="2" t="inlineStr">
        <is>
          <t>Hoja7</t>
        </is>
      </c>
      <c r="B27" s="2" t="inlineStr">
        <is>
          <t>PRESUPUESTOS LINEA 5000</t>
        </is>
      </c>
      <c r="C27" s="2" t="inlineStr">
        <is>
          <t>F56</t>
        </is>
      </c>
      <c r="D27" s="2" t="inlineStr"/>
      <c r="E27" s="2">
        <f>CEILING(F53*10%+F53,1000)</f>
        <v/>
      </c>
      <c r="F27" s="3" t="n">
        <v>104000</v>
      </c>
    </row>
    <row r="28">
      <c r="A28" s="2" t="inlineStr">
        <is>
          <t>Hoja7</t>
        </is>
      </c>
      <c r="B28" s="2" t="inlineStr">
        <is>
          <t>PRESUPUESTOS LINEA 5000</t>
        </is>
      </c>
      <c r="C28" s="2" t="inlineStr">
        <is>
          <t>D59</t>
        </is>
      </c>
      <c r="D28" s="2" t="inlineStr"/>
      <c r="E28" s="2">
        <f>CEILING(F59*15%+F59,1000)</f>
        <v/>
      </c>
      <c r="F28" s="3" t="n">
        <v>133000</v>
      </c>
    </row>
    <row r="29">
      <c r="A29" s="2" t="inlineStr">
        <is>
          <t>Hoja7</t>
        </is>
      </c>
      <c r="B29" s="2" t="inlineStr">
        <is>
          <t>PRESUPUESTOS LINEA 5000</t>
        </is>
      </c>
      <c r="C29" s="2" t="inlineStr">
        <is>
          <t>F59</t>
        </is>
      </c>
      <c r="D29" s="2" t="inlineStr"/>
      <c r="E29" s="2">
        <f>CEILING(F56*10%+F56,1000)</f>
        <v/>
      </c>
      <c r="F29" s="3" t="n">
        <v>115000</v>
      </c>
    </row>
    <row r="30">
      <c r="A30" s="2" t="inlineStr">
        <is>
          <t>Hoja8</t>
        </is>
      </c>
      <c r="B30" s="2" t="inlineStr">
        <is>
          <t>FIJOS CON TUBULAR RECTANGULAR</t>
        </is>
      </c>
      <c r="C30" s="2" t="inlineStr">
        <is>
          <t>D61</t>
        </is>
      </c>
      <c r="D30" s="2" t="inlineStr">
        <is>
          <t>TOTAL: TOTAL:</t>
        </is>
      </c>
      <c r="E30" s="2">
        <f>CEILING(((+D60*40)/100)+D60,1000)</f>
        <v/>
      </c>
      <c r="F30" s="3" t="n">
        <v>75000</v>
      </c>
    </row>
    <row r="31">
      <c r="A31" s="2" t="inlineStr">
        <is>
          <t>Hoja8</t>
        </is>
      </c>
      <c r="B31" s="2" t="inlineStr">
        <is>
          <t>FIJOS CON TUBULAR RECTANGULAR</t>
        </is>
      </c>
      <c r="C31" s="2" t="inlineStr">
        <is>
          <t>G61</t>
        </is>
      </c>
      <c r="D31" s="2" t="inlineStr">
        <is>
          <t>TOTAL: TOTAL:</t>
        </is>
      </c>
      <c r="E31" s="2">
        <f>CEILING(((+G60*40)/100)+G60,1000)</f>
        <v/>
      </c>
      <c r="F31" s="3" t="n">
        <v>89000</v>
      </c>
    </row>
    <row r="32">
      <c r="A32" s="2" t="inlineStr">
        <is>
          <t>Hoja8</t>
        </is>
      </c>
      <c r="B32" s="2" t="inlineStr">
        <is>
          <t>FIJOS CON TUBULAR RECTANGULAR</t>
        </is>
      </c>
      <c r="C32" s="2" t="inlineStr">
        <is>
          <t>G64</t>
        </is>
      </c>
      <c r="D32" s="2" t="inlineStr"/>
      <c r="E32" s="2">
        <f>CEILING(G61*10%+G61,1000)</f>
        <v/>
      </c>
      <c r="F32" s="3" t="n">
        <v>98000</v>
      </c>
    </row>
    <row r="33">
      <c r="A33" s="2" t="inlineStr">
        <is>
          <t>Hoja8</t>
        </is>
      </c>
      <c r="B33" s="2" t="inlineStr">
        <is>
          <t>FIJOS CON TUBULAR RECTANGULAR</t>
        </is>
      </c>
      <c r="C33" s="2" t="inlineStr">
        <is>
          <t>D67</t>
        </is>
      </c>
      <c r="D33" s="2" t="inlineStr"/>
      <c r="E33" s="2">
        <f>CEILING(G67*15%+G67,1000)</f>
        <v/>
      </c>
      <c r="F33" s="3" t="n">
        <v>125000</v>
      </c>
    </row>
    <row r="34">
      <c r="A34" s="2" t="inlineStr">
        <is>
          <t>Hoja8</t>
        </is>
      </c>
      <c r="B34" s="2" t="inlineStr">
        <is>
          <t>FIJOS CON TUBULAR RECTANGULAR</t>
        </is>
      </c>
      <c r="C34" s="2" t="inlineStr">
        <is>
          <t>G67</t>
        </is>
      </c>
      <c r="D34" s="2" t="inlineStr"/>
      <c r="E34" s="2">
        <f>CEILING(G64*10%+G64,1000)</f>
        <v/>
      </c>
      <c r="F34" s="3" t="n">
        <v>108000</v>
      </c>
    </row>
    <row r="35">
      <c r="A35" s="2" t="inlineStr">
        <is>
          <t>Hoja9</t>
        </is>
      </c>
      <c r="B35" s="2" t="inlineStr">
        <is>
          <t>FIJOS CON CENTRO DE PUERTA</t>
        </is>
      </c>
      <c r="C35" s="2" t="inlineStr">
        <is>
          <t>D61</t>
        </is>
      </c>
      <c r="D35" s="2" t="inlineStr">
        <is>
          <t>TOTAL: TOTAL:</t>
        </is>
      </c>
      <c r="E35" s="2">
        <f>CEILING(((+D60*40)/100)+D60,1000)</f>
        <v/>
      </c>
      <c r="F35" s="3" t="n">
        <v>58000</v>
      </c>
    </row>
    <row r="36">
      <c r="A36" s="2" t="inlineStr">
        <is>
          <t>Hoja9</t>
        </is>
      </c>
      <c r="B36" s="2" t="inlineStr">
        <is>
          <t>FIJOS CON CENTRO DE PUERTA</t>
        </is>
      </c>
      <c r="C36" s="2" t="inlineStr">
        <is>
          <t>G61</t>
        </is>
      </c>
      <c r="D36" s="2" t="inlineStr">
        <is>
          <t>TOTAL: TOTAL:</t>
        </is>
      </c>
      <c r="E36" s="2">
        <f>CEILING(((+G60*80)/100)+G60,1000)</f>
        <v/>
      </c>
      <c r="F36" s="3" t="n">
        <v>75000</v>
      </c>
    </row>
    <row r="37">
      <c r="A37" s="2" t="inlineStr">
        <is>
          <t>Hoja9</t>
        </is>
      </c>
      <c r="B37" s="2" t="inlineStr">
        <is>
          <t>FIJOS CON CENTRO DE PUERTA</t>
        </is>
      </c>
      <c r="C37" s="2" t="inlineStr">
        <is>
          <t>G64</t>
        </is>
      </c>
      <c r="D37" s="2" t="inlineStr"/>
      <c r="E37" s="2">
        <f>CEILING(G61*10%+G61,1000)</f>
        <v/>
      </c>
      <c r="F37" s="3" t="n">
        <v>83000</v>
      </c>
    </row>
    <row r="38">
      <c r="A38" s="2" t="inlineStr">
        <is>
          <t>Hoja9</t>
        </is>
      </c>
      <c r="B38" s="2" t="inlineStr">
        <is>
          <t>FIJOS CON CENTRO DE PUERTA</t>
        </is>
      </c>
      <c r="C38" s="2" t="inlineStr">
        <is>
          <t>E67</t>
        </is>
      </c>
      <c r="D38" s="2" t="inlineStr"/>
      <c r="E38" s="2">
        <f>CEILING(G67*10%+G67,1000)</f>
        <v/>
      </c>
      <c r="F38" s="3" t="n">
        <v>102000</v>
      </c>
    </row>
    <row r="39">
      <c r="A39" s="2" t="inlineStr">
        <is>
          <t>Hoja9</t>
        </is>
      </c>
      <c r="B39" s="2" t="inlineStr">
        <is>
          <t>FIJOS CON CENTRO DE PUERTA</t>
        </is>
      </c>
      <c r="C39" s="2" t="inlineStr">
        <is>
          <t>G67</t>
        </is>
      </c>
      <c r="D39" s="2" t="inlineStr"/>
      <c r="E39" s="2">
        <f>CEILING(G64*10%+G64,1000)</f>
        <v/>
      </c>
      <c r="F39" s="3" t="n">
        <v>92000</v>
      </c>
    </row>
    <row r="40">
      <c r="A40" s="2" t="inlineStr">
        <is>
          <t>Hoja10</t>
        </is>
      </c>
      <c r="B40" s="2" t="inlineStr">
        <is>
          <t>PRESUPUESTOS LINEA 8000</t>
        </is>
      </c>
      <c r="C40" s="2" t="inlineStr">
        <is>
          <t>D62</t>
        </is>
      </c>
      <c r="D40" s="2" t="inlineStr">
        <is>
          <t>TOTAL: TOTAL:</t>
        </is>
      </c>
      <c r="E40" s="2">
        <f>CEILING(((+D61*10)/100)+D61,1000)</f>
        <v/>
      </c>
      <c r="F40" s="3" t="n">
        <v>176000</v>
      </c>
    </row>
    <row r="41">
      <c r="A41" s="2" t="inlineStr">
        <is>
          <t>Hoja10</t>
        </is>
      </c>
      <c r="B41" s="2" t="inlineStr">
        <is>
          <t>PRESUPUESTOS LINEA 8000</t>
        </is>
      </c>
      <c r="C41" s="2" t="inlineStr">
        <is>
          <t>E62</t>
        </is>
      </c>
      <c r="D41" s="2" t="inlineStr">
        <is>
          <t>TOTAL:</t>
        </is>
      </c>
      <c r="E41" s="2">
        <f>CEILING(((+E61*10)/100)+E61,1000)</f>
        <v/>
      </c>
      <c r="F41" s="3" t="n">
        <v>309000</v>
      </c>
    </row>
    <row r="42">
      <c r="A42" s="2" t="inlineStr">
        <is>
          <t>Hoja10</t>
        </is>
      </c>
      <c r="B42" s="2" t="inlineStr">
        <is>
          <t>PRESUPUESTOS LINEA 8000</t>
        </is>
      </c>
      <c r="C42" s="2" t="inlineStr">
        <is>
          <t>G62</t>
        </is>
      </c>
      <c r="D42" s="2" t="inlineStr">
        <is>
          <t>TOTAL: TOTAL:</t>
        </is>
      </c>
      <c r="E42" s="2">
        <f>CEILING(((+G61*10)/100)+G61,1000)</f>
        <v/>
      </c>
      <c r="F42" s="3" t="n">
        <v>182000</v>
      </c>
    </row>
    <row r="43">
      <c r="A43" s="2" t="inlineStr">
        <is>
          <t>Hoja10</t>
        </is>
      </c>
      <c r="B43" s="2" t="inlineStr">
        <is>
          <t>PRESUPUESTOS LINEA 8000</t>
        </is>
      </c>
      <c r="C43" s="2" t="inlineStr">
        <is>
          <t>H62</t>
        </is>
      </c>
      <c r="D43" s="2" t="inlineStr">
        <is>
          <t>TOTAL:</t>
        </is>
      </c>
      <c r="E43" s="2">
        <f>CEILING(((+H61*10)/100)+H61,1000)</f>
        <v/>
      </c>
      <c r="F43" s="3" t="n">
        <v>318000</v>
      </c>
    </row>
    <row r="44">
      <c r="A44" s="2" t="inlineStr">
        <is>
          <t>Hoja10</t>
        </is>
      </c>
      <c r="B44" s="2" t="inlineStr">
        <is>
          <t>PRESUPUESTOS LINEA 8000</t>
        </is>
      </c>
      <c r="C44" s="2" t="inlineStr">
        <is>
          <t>E65</t>
        </is>
      </c>
      <c r="D44" s="2" t="inlineStr"/>
      <c r="E44" s="2">
        <f>CEILING(I65*10%+I65,1000)</f>
        <v/>
      </c>
      <c r="F44" s="3" t="n">
        <v>245000</v>
      </c>
    </row>
    <row r="45">
      <c r="A45" s="2" t="inlineStr">
        <is>
          <t>Hoja10</t>
        </is>
      </c>
      <c r="B45" s="2" t="inlineStr">
        <is>
          <t>PRESUPUESTOS LINEA 8000</t>
        </is>
      </c>
      <c r="C45" s="2" t="inlineStr">
        <is>
          <t>G65</t>
        </is>
      </c>
      <c r="D45" s="2" t="inlineStr"/>
      <c r="E45" s="2">
        <f>CEILING(G62*10%+G62,1000)</f>
        <v/>
      </c>
      <c r="F45" s="3" t="n">
        <v>201000</v>
      </c>
    </row>
    <row r="46">
      <c r="A46" s="2" t="inlineStr">
        <is>
          <t>Hoja10</t>
        </is>
      </c>
      <c r="B46" s="2" t="inlineStr">
        <is>
          <t>PRESUPUESTOS LINEA 8000</t>
        </is>
      </c>
      <c r="C46" s="2" t="inlineStr">
        <is>
          <t>I65</t>
        </is>
      </c>
      <c r="D46" s="2" t="inlineStr"/>
      <c r="E46" s="2">
        <f>CEILING(G65*10%+G65,1000)</f>
        <v/>
      </c>
      <c r="F46" s="3" t="n">
        <v>222000</v>
      </c>
    </row>
    <row r="47">
      <c r="A47" s="2" t="inlineStr">
        <is>
          <t>Hoja11</t>
        </is>
      </c>
      <c r="B47" s="2" t="inlineStr">
        <is>
          <t>CELOSIAS</t>
        </is>
      </c>
      <c r="C47" s="2" t="inlineStr">
        <is>
          <t>D58</t>
        </is>
      </c>
      <c r="D47" s="2" t="inlineStr">
        <is>
          <t>TOTAL: TOTAL:</t>
        </is>
      </c>
      <c r="E47" s="2">
        <f>CEILING(((+D57*50)/100)+D57,1000)</f>
        <v/>
      </c>
      <c r="F47" s="3" t="n">
        <v>37000</v>
      </c>
    </row>
    <row r="48">
      <c r="A48" s="2" t="inlineStr">
        <is>
          <t>Hoja11</t>
        </is>
      </c>
      <c r="B48" s="2" t="inlineStr">
        <is>
          <t>CELOSIAS</t>
        </is>
      </c>
      <c r="C48" s="2" t="inlineStr">
        <is>
          <t>G58</t>
        </is>
      </c>
      <c r="D48" s="2" t="inlineStr">
        <is>
          <t>TOTAL: TOTAL:</t>
        </is>
      </c>
      <c r="E48" s="2">
        <f>CEILING(((+G57*50)/100)+G57,1000)</f>
        <v/>
      </c>
      <c r="F48" s="3" t="n">
        <v>39000</v>
      </c>
    </row>
    <row r="49">
      <c r="A49" s="2" t="inlineStr">
        <is>
          <t>Hoja11</t>
        </is>
      </c>
      <c r="B49" s="2" t="inlineStr">
        <is>
          <t>CELOSIAS</t>
        </is>
      </c>
      <c r="C49" s="2" t="inlineStr">
        <is>
          <t>G61</t>
        </is>
      </c>
      <c r="D49" s="2" t="inlineStr"/>
      <c r="E49" s="2">
        <f>CEILING(G58*10%+G58,1000)</f>
        <v/>
      </c>
      <c r="F49" s="3" t="n">
        <v>43000</v>
      </c>
    </row>
    <row r="50">
      <c r="A50" s="2" t="inlineStr">
        <is>
          <t>Hoja12</t>
        </is>
      </c>
      <c r="B50" s="2" t="inlineStr">
        <is>
          <t>PRESUPUESTOS LINEA 7000</t>
        </is>
      </c>
      <c r="C50" s="2" t="inlineStr">
        <is>
          <t>D63</t>
        </is>
      </c>
      <c r="D50" s="2" t="inlineStr">
        <is>
          <t>TOTAL: TOTAL:</t>
        </is>
      </c>
      <c r="E50" s="2">
        <f>CEILING(((+D62*80)/100)+D62,1000)</f>
        <v/>
      </c>
      <c r="F50" s="3" t="n">
        <v>174000</v>
      </c>
    </row>
    <row r="51">
      <c r="A51" s="2" t="inlineStr">
        <is>
          <t>Hoja12</t>
        </is>
      </c>
      <c r="B51" s="2" t="inlineStr">
        <is>
          <t>PRESUPUESTOS LINEA 7000</t>
        </is>
      </c>
      <c r="C51" s="2" t="inlineStr">
        <is>
          <t>G63</t>
        </is>
      </c>
      <c r="D51" s="2" t="inlineStr">
        <is>
          <t>TOTAL: TOTAL:</t>
        </is>
      </c>
      <c r="E51" s="2">
        <f>CEILING(((+G62*80)/100)+G62,1000)</f>
        <v/>
      </c>
      <c r="F51" s="3" t="n">
        <v>186000</v>
      </c>
    </row>
    <row r="52">
      <c r="A52" s="2" t="inlineStr">
        <is>
          <t>Hoja12</t>
        </is>
      </c>
      <c r="B52" s="2" t="inlineStr">
        <is>
          <t>PRESUPUESTOS LINEA 7000</t>
        </is>
      </c>
      <c r="C52" s="2" t="inlineStr">
        <is>
          <t>G66</t>
        </is>
      </c>
      <c r="D52" s="2" t="inlineStr"/>
      <c r="E52" s="2">
        <f>CEILING(G63*10%+G63,1000)</f>
        <v/>
      </c>
      <c r="F52" s="3" t="n">
        <v>205000</v>
      </c>
    </row>
    <row r="53">
      <c r="A53" s="2" t="inlineStr">
        <is>
          <t>Hoja13</t>
        </is>
      </c>
      <c r="B53" s="2" t="inlineStr">
        <is>
          <t>PRESUPUESTO VENTANA DE ABATIR</t>
        </is>
      </c>
      <c r="C53" s="2" t="inlineStr">
        <is>
          <t>D57</t>
        </is>
      </c>
      <c r="D53" s="2" t="inlineStr">
        <is>
          <t>TOTAL: TOTAL:</t>
        </is>
      </c>
      <c r="E53" s="2">
        <f>CEILING(((+D56*40)/100)+D56,1000)</f>
        <v/>
      </c>
      <c r="F53" s="3" t="n">
        <v>50000</v>
      </c>
    </row>
    <row r="54">
      <c r="A54" s="2" t="inlineStr">
        <is>
          <t>Hoja13</t>
        </is>
      </c>
      <c r="B54" s="2" t="inlineStr">
        <is>
          <t>PRESUPUESTO VENTANA DE ABATIR</t>
        </is>
      </c>
      <c r="C54" s="2" t="inlineStr">
        <is>
          <t>F57</t>
        </is>
      </c>
      <c r="D54" s="2" t="inlineStr">
        <is>
          <t>TOTAL:</t>
        </is>
      </c>
      <c r="E54" s="2">
        <f>CEILING(((+F56*80)/100)+F56,1000)</f>
        <v/>
      </c>
      <c r="F54" s="3" t="n">
        <v>67000</v>
      </c>
    </row>
    <row r="55">
      <c r="A55" s="2" t="inlineStr">
        <is>
          <t>Hoja13</t>
        </is>
      </c>
      <c r="B55" s="2" t="inlineStr">
        <is>
          <t>PRESUPUESTO VENTANA DE ABATIR</t>
        </is>
      </c>
      <c r="C55" s="2" t="inlineStr">
        <is>
          <t>D60</t>
        </is>
      </c>
      <c r="D55" s="2" t="inlineStr"/>
      <c r="E55" s="2">
        <f>CEILING(F60*10%+F60,1000)</f>
        <v/>
      </c>
      <c r="F55" s="3" t="n">
        <v>82000</v>
      </c>
    </row>
    <row r="56">
      <c r="A56" s="2" t="inlineStr">
        <is>
          <t>Hoja13</t>
        </is>
      </c>
      <c r="B56" s="2" t="inlineStr">
        <is>
          <t>PRESUPUESTO VENTANA DE ABATIR</t>
        </is>
      </c>
      <c r="C56" s="2" t="inlineStr">
        <is>
          <t>F60</t>
        </is>
      </c>
      <c r="D56" s="2" t="inlineStr"/>
      <c r="E56" s="2">
        <f>CEILING(F57*10%+F57,1000)</f>
        <v/>
      </c>
      <c r="F56" s="3" t="n">
        <v>74000</v>
      </c>
    </row>
    <row r="57">
      <c r="A57" s="2" t="inlineStr">
        <is>
          <t>Hoja2</t>
        </is>
      </c>
      <c r="B57" s="2" t="inlineStr">
        <is>
          <t>PRESUPUESTO SHOWER DOOR LINEA AM-12 ALUMCO</t>
        </is>
      </c>
      <c r="C57" s="2" t="inlineStr">
        <is>
          <t>G13</t>
        </is>
      </c>
      <c r="D57" s="2" t="inlineStr">
        <is>
          <t>BASTIDOR 1204 M.OBRA</t>
        </is>
      </c>
      <c r="E57" s="2">
        <f>H13*10%+H13</f>
        <v/>
      </c>
      <c r="F57" s="3" t="n">
        <v>33000</v>
      </c>
    </row>
    <row r="58">
      <c r="A58" s="2" t="inlineStr">
        <is>
          <t>Hoja3</t>
        </is>
      </c>
      <c r="B58" s="2" t="inlineStr">
        <is>
          <t>PRESUPUESTO VENTANA CON BRAZO EXT.</t>
        </is>
      </c>
      <c r="C58" s="2" t="inlineStr">
        <is>
          <t>C10</t>
        </is>
      </c>
      <c r="D58" s="2" t="inlineStr">
        <is>
          <t>MARCO 3201 10830 FELPA 320</t>
        </is>
      </c>
      <c r="E58" s="2">
        <f>B10+B10*19%</f>
        <v/>
      </c>
      <c r="F58" s="4" t="n">
        <v>12887.7</v>
      </c>
    </row>
    <row r="59">
      <c r="A59" s="2" t="inlineStr">
        <is>
          <t>Hoja3</t>
        </is>
      </c>
      <c r="B59" s="2" t="inlineStr">
        <is>
          <t>PRESUPUESTO VENTANA CON BRAZO EXT.</t>
        </is>
      </c>
      <c r="C59" s="2" t="inlineStr">
        <is>
          <t>C11</t>
        </is>
      </c>
      <c r="D59" s="2" t="inlineStr">
        <is>
          <t>MARCO HOJA 3202 17070 MANILA 2630</t>
        </is>
      </c>
      <c r="E59" s="2">
        <f>B11+B11*19%</f>
        <v/>
      </c>
      <c r="F59" s="4" t="n">
        <v>20313.3</v>
      </c>
    </row>
    <row r="60">
      <c r="A60" s="2" t="inlineStr">
        <is>
          <t>Hoja3</t>
        </is>
      </c>
      <c r="B60" s="2" t="inlineStr">
        <is>
          <t>PRESUPUESTO VENTANA CON BRAZO EXT.</t>
        </is>
      </c>
      <c r="C60" s="2" t="inlineStr">
        <is>
          <t>C12</t>
        </is>
      </c>
      <c r="D60" s="2" t="inlineStr">
        <is>
          <t>JUNQUILLO 3203 5400 BRAZO EXT 5700</t>
        </is>
      </c>
      <c r="E60" s="2">
        <f>B12+B12*19%</f>
        <v/>
      </c>
      <c r="F60" s="3" t="n">
        <v>6426</v>
      </c>
    </row>
    <row r="61">
      <c r="A61" s="2" t="inlineStr">
        <is>
          <t>Hoja3</t>
        </is>
      </c>
      <c r="B61" s="2" t="inlineStr">
        <is>
          <t>PRESUPUESTO VENTANA CON BRAZO EXT.</t>
        </is>
      </c>
      <c r="C61" s="2" t="inlineStr">
        <is>
          <t>C14</t>
        </is>
      </c>
      <c r="D61" s="2" t="inlineStr">
        <is>
          <t>TUBO RECT. 30x60 23670</t>
        </is>
      </c>
      <c r="E61" s="2">
        <f>B14+B14*19%</f>
        <v/>
      </c>
      <c r="F61" s="4" t="n">
        <v>28167.3</v>
      </c>
    </row>
    <row r="62">
      <c r="A62" s="2" t="inlineStr">
        <is>
          <t>Hoja3</t>
        </is>
      </c>
      <c r="B62" s="2" t="inlineStr">
        <is>
          <t>PRESUPUESTO VENTANA CON BRAZO EXT.</t>
        </is>
      </c>
      <c r="C62" s="2" t="inlineStr">
        <is>
          <t>C15</t>
        </is>
      </c>
      <c r="D62" s="2" t="inlineStr">
        <is>
          <t>PILAR MARCO 3204 20160 VIDRIO</t>
        </is>
      </c>
      <c r="E62" s="2">
        <f>B15+B15*19%</f>
        <v/>
      </c>
      <c r="F62" s="4" t="n">
        <v>23990.4</v>
      </c>
    </row>
    <row r="63">
      <c r="A63" s="2" t="inlineStr">
        <is>
          <t>Hoja3</t>
        </is>
      </c>
      <c r="B63" s="2" t="inlineStr">
        <is>
          <t>PRESUPUESTO VENTANA CON BRAZO EXT.</t>
        </is>
      </c>
      <c r="C63" s="2" t="inlineStr">
        <is>
          <t>D22</t>
        </is>
      </c>
      <c r="D63" s="2" t="inlineStr">
        <is>
          <t>1 VENT.ABATIR COMPL. 6 BR/GR 4mm</t>
        </is>
      </c>
      <c r="E63" s="2">
        <f>D25*10%+D25</f>
        <v/>
      </c>
      <c r="F63" s="3" t="n">
        <v>18700</v>
      </c>
    </row>
    <row r="64">
      <c r="A64" s="2" t="inlineStr">
        <is>
          <t>Hoja3</t>
        </is>
      </c>
      <c r="B64" s="2" t="inlineStr">
        <is>
          <t>PRESUPUESTO VENTANA CON BRAZO EXT.</t>
        </is>
      </c>
      <c r="C64" s="2" t="inlineStr">
        <is>
          <t>D23</t>
        </is>
      </c>
      <c r="D64" s="2" t="inlineStr">
        <is>
          <t>2 VENT.ABATIR C/FIJO 7 BR/GR 5mm</t>
        </is>
      </c>
      <c r="E64" s="2">
        <f>D26*10%+D26</f>
        <v/>
      </c>
      <c r="F64" s="3" t="n">
        <v>27500</v>
      </c>
    </row>
    <row r="65">
      <c r="A65" s="2" t="inlineStr">
        <is>
          <t>Hoja4</t>
        </is>
      </c>
      <c r="B65" s="2" t="inlineStr">
        <is>
          <t>PRESUPUESTO CENTROS DE PUERTA</t>
        </is>
      </c>
      <c r="C65" s="2" t="inlineStr">
        <is>
          <t>C19</t>
        </is>
      </c>
      <c r="D65" s="2" t="inlineStr">
        <is>
          <t>C/FIJO</t>
        </is>
      </c>
      <c r="E65" s="2">
        <f>D19*10%+D19</f>
        <v/>
      </c>
      <c r="F65" s="3" t="n">
        <v>11000</v>
      </c>
    </row>
    <row r="66">
      <c r="A66" s="2" t="inlineStr">
        <is>
          <t>Hoja4</t>
        </is>
      </c>
      <c r="B66" s="2" t="inlineStr">
        <is>
          <t>PRESUPUESTO CENTROS DE PUERTA</t>
        </is>
      </c>
      <c r="C66" s="2" t="inlineStr">
        <is>
          <t>C20</t>
        </is>
      </c>
      <c r="D66" s="2" t="inlineStr">
        <is>
          <t>S/FIJO</t>
        </is>
      </c>
      <c r="E66" s="2">
        <f>D20*10%+D20</f>
        <v/>
      </c>
      <c r="F66" s="3" t="n">
        <v>9460</v>
      </c>
    </row>
    <row r="67">
      <c r="A67" s="2" t="inlineStr">
        <is>
          <t>Hoja5</t>
        </is>
      </c>
      <c r="B67" s="2" t="inlineStr">
        <is>
          <t>PRESUPUESTO CENTROS DE PUERTA</t>
        </is>
      </c>
      <c r="C67" s="2" t="inlineStr">
        <is>
          <t>C19</t>
        </is>
      </c>
      <c r="D67" s="2" t="inlineStr">
        <is>
          <t>C/FIJO</t>
        </is>
      </c>
      <c r="E67" s="2">
        <f>D19*10%+D19</f>
        <v/>
      </c>
      <c r="F67" s="3" t="n">
        <v>11000</v>
      </c>
    </row>
    <row r="68">
      <c r="A68" s="2" t="inlineStr">
        <is>
          <t>Hoja5</t>
        </is>
      </c>
      <c r="B68" s="2" t="inlineStr">
        <is>
          <t>PRESUPUESTO CENTROS DE PUERTA</t>
        </is>
      </c>
      <c r="C68" s="2" t="inlineStr">
        <is>
          <t>C20</t>
        </is>
      </c>
      <c r="D68" s="2" t="inlineStr">
        <is>
          <t>S/FIJO</t>
        </is>
      </c>
      <c r="E68" s="2">
        <f>D20*10%+D20</f>
        <v/>
      </c>
      <c r="F68" s="3" t="n">
        <v>9460</v>
      </c>
    </row>
    <row r="69">
      <c r="A69" s="2" t="inlineStr">
        <is>
          <t>Hoja6</t>
        </is>
      </c>
      <c r="B69" s="2" t="inlineStr">
        <is>
          <t>PRESUPUESTOS PUERTAS TUBO 40x40 Y 40x100</t>
        </is>
      </c>
      <c r="C69" s="2" t="inlineStr">
        <is>
          <t>C22</t>
        </is>
      </c>
      <c r="D69" s="2" t="inlineStr">
        <is>
          <t>M.OBRA</t>
        </is>
      </c>
      <c r="E69" s="2">
        <f>D22*10%+D22</f>
        <v/>
      </c>
      <c r="F69" s="3" t="n">
        <v>28600</v>
      </c>
    </row>
    <row r="70">
      <c r="A70" s="2" t="inlineStr">
        <is>
          <t>Hoja7</t>
        </is>
      </c>
      <c r="B70" s="2" t="inlineStr">
        <is>
          <t>PRESUPUESTOS LINEA 5000</t>
        </is>
      </c>
      <c r="C70" s="2" t="inlineStr">
        <is>
          <t>C22</t>
        </is>
      </c>
      <c r="D70" s="2" t="inlineStr">
        <is>
          <t>DOS HOJAS 6 STOP SOL 4mm</t>
        </is>
      </c>
      <c r="E70" s="2">
        <f>D22*10%+D22</f>
        <v/>
      </c>
      <c r="F70" s="3" t="n">
        <v>18700</v>
      </c>
    </row>
    <row r="71">
      <c r="A71" s="2" t="inlineStr">
        <is>
          <t>Hoja7</t>
        </is>
      </c>
      <c r="B71" s="2" t="inlineStr">
        <is>
          <t>PRESUPUESTOS LINEA 5000</t>
        </is>
      </c>
      <c r="C71" s="2" t="inlineStr">
        <is>
          <t>C23</t>
        </is>
      </c>
      <c r="D71" s="2" t="inlineStr">
        <is>
          <t>TRES HOJAS 7 NO HAY</t>
        </is>
      </c>
      <c r="E71" s="2">
        <f>D23*10%+D23</f>
        <v/>
      </c>
      <c r="F71" s="3" t="n">
        <v>24200</v>
      </c>
    </row>
    <row r="72">
      <c r="A72" s="2" t="inlineStr">
        <is>
          <t>Hoja8</t>
        </is>
      </c>
      <c r="B72" s="2" t="inlineStr">
        <is>
          <t>FIJOS CON TUBULAR RECTANGULAR</t>
        </is>
      </c>
      <c r="C72" s="2" t="inlineStr">
        <is>
          <t>C21</t>
        </is>
      </c>
      <c r="D72" s="2" t="inlineStr">
        <is>
          <t>M.OBRA 0 5 BRONC.5mm</t>
        </is>
      </c>
      <c r="E72" s="2">
        <f>C23*10%+C23</f>
        <v/>
      </c>
      <c r="F72" s="3" t="n">
        <v>19800</v>
      </c>
    </row>
    <row r="73">
      <c r="A73" s="2" t="inlineStr">
        <is>
          <t>Hoja8</t>
        </is>
      </c>
      <c r="B73" s="2" t="inlineStr">
        <is>
          <t>FIJOS CON TUBULAR RECTANGULAR</t>
        </is>
      </c>
      <c r="C73" s="2" t="inlineStr">
        <is>
          <t>D21</t>
        </is>
      </c>
      <c r="D73" s="2" t="inlineStr">
        <is>
          <t>M.OBRA 0 5 BRONC.5mm</t>
        </is>
      </c>
      <c r="E73" s="2">
        <f>D23*10%+D23</f>
        <v/>
      </c>
      <c r="F73" s="3" t="n">
        <v>26400</v>
      </c>
    </row>
    <row r="74">
      <c r="A74" s="2" t="inlineStr">
        <is>
          <t>Hoja9</t>
        </is>
      </c>
      <c r="B74" s="2" t="inlineStr">
        <is>
          <t>FIJOS CON CENTRO DE PUERTA</t>
        </is>
      </c>
      <c r="C74" s="2" t="inlineStr">
        <is>
          <t>C19</t>
        </is>
      </c>
      <c r="D74" s="2" t="inlineStr">
        <is>
          <t>M.OBRA 0 3 VITREA</t>
        </is>
      </c>
      <c r="E74" s="2">
        <f>C21*10%+C21</f>
        <v/>
      </c>
      <c r="F74" s="3" t="n">
        <v>13200</v>
      </c>
    </row>
    <row r="75">
      <c r="A75" s="2" t="inlineStr">
        <is>
          <t>Hoja9</t>
        </is>
      </c>
      <c r="B75" s="2" t="inlineStr">
        <is>
          <t>FIJOS CON CENTRO DE PUERTA</t>
        </is>
      </c>
      <c r="C75" s="2" t="inlineStr">
        <is>
          <t>D19</t>
        </is>
      </c>
      <c r="D75" s="2" t="inlineStr">
        <is>
          <t>M.OBRA 0 3 VITREA</t>
        </is>
      </c>
      <c r="E75" s="2">
        <f>D21*10%+D21</f>
        <v/>
      </c>
      <c r="F75" s="3" t="n">
        <v>17600</v>
      </c>
    </row>
    <row r="76">
      <c r="A76" s="2" t="inlineStr">
        <is>
          <t>Hoja10</t>
        </is>
      </c>
      <c r="B76" s="2" t="inlineStr">
        <is>
          <t>PRESUPUESTOS LINEA 8000</t>
        </is>
      </c>
      <c r="C76" s="2" t="inlineStr">
        <is>
          <t>L6</t>
        </is>
      </c>
      <c r="D76" s="2" t="inlineStr"/>
      <c r="E76" s="2">
        <f>CEILING(K6+K6*80%,10)</f>
        <v/>
      </c>
      <c r="F76" s="3" t="n">
        <v>2810</v>
      </c>
    </row>
    <row r="77">
      <c r="A77" s="2" t="inlineStr">
        <is>
          <t>Hoja10</t>
        </is>
      </c>
      <c r="B77" s="2" t="inlineStr">
        <is>
          <t>PRESUPUESTOS LINEA 8000</t>
        </is>
      </c>
      <c r="C77" s="2" t="inlineStr">
        <is>
          <t>L7</t>
        </is>
      </c>
      <c r="D77" s="2" t="inlineStr"/>
      <c r="E77" s="2">
        <f>CEILING(K7+K7*80%,10)</f>
        <v/>
      </c>
      <c r="F77" s="3" t="n">
        <v>5820</v>
      </c>
    </row>
    <row r="78">
      <c r="A78" s="2" t="inlineStr">
        <is>
          <t>Hoja10</t>
        </is>
      </c>
      <c r="B78" s="2" t="inlineStr">
        <is>
          <t>PRESUPUESTOS LINEA 8000</t>
        </is>
      </c>
      <c r="C78" s="2" t="inlineStr">
        <is>
          <t>L8</t>
        </is>
      </c>
      <c r="D78" s="2" t="inlineStr">
        <is>
          <t>ARTICULO NRO. INCOLOR</t>
        </is>
      </c>
      <c r="E78" s="2">
        <f>CEILING(K8+K8*80%,10)</f>
        <v/>
      </c>
      <c r="F78" s="3" t="n">
        <v>5880</v>
      </c>
    </row>
    <row r="79">
      <c r="A79" s="2" t="inlineStr">
        <is>
          <t>Hoja10</t>
        </is>
      </c>
      <c r="B79" s="2" t="inlineStr">
        <is>
          <t>PRESUPUESTOS LINEA 8000</t>
        </is>
      </c>
      <c r="C79" s="2" t="inlineStr">
        <is>
          <t>L9</t>
        </is>
      </c>
      <c r="D79" s="2" t="inlineStr"/>
      <c r="E79" s="2">
        <f>CEILING(K9+K9*80%,10)</f>
        <v/>
      </c>
      <c r="F79" s="3" t="n">
        <v>80</v>
      </c>
    </row>
    <row r="80">
      <c r="A80" s="2" t="inlineStr">
        <is>
          <t>Hoja10</t>
        </is>
      </c>
      <c r="B80" s="2" t="inlineStr">
        <is>
          <t>PRESUPUESTOS LINEA 8000</t>
        </is>
      </c>
      <c r="C80" s="2" t="inlineStr">
        <is>
          <t>L10</t>
        </is>
      </c>
      <c r="D80" s="2" t="inlineStr">
        <is>
          <t>RIEL INF. 8001 BURLETE 300</t>
        </is>
      </c>
      <c r="E80" s="2">
        <f>CEILING(K10+K10*80%,10)</f>
        <v/>
      </c>
      <c r="F80" s="3" t="n">
        <v>11900</v>
      </c>
    </row>
    <row r="81">
      <c r="A81" s="2" t="inlineStr">
        <is>
          <t>Hoja10</t>
        </is>
      </c>
      <c r="B81" s="2" t="inlineStr">
        <is>
          <t>PRESUPUESTOS LINEA 8000</t>
        </is>
      </c>
      <c r="C81" s="2" t="inlineStr">
        <is>
          <t>C28</t>
        </is>
      </c>
      <c r="D81" s="2" t="inlineStr">
        <is>
          <t>2 HOJAS</t>
        </is>
      </c>
      <c r="E81" s="2">
        <f>D28*10%+D28</f>
        <v/>
      </c>
      <c r="F81" s="3" t="n">
        <v>37400</v>
      </c>
    </row>
    <row r="82">
      <c r="A82" s="2" t="inlineStr">
        <is>
          <t>Hoja10</t>
        </is>
      </c>
      <c r="B82" s="2" t="inlineStr">
        <is>
          <t>PRESUPUESTOS LINEA 8000</t>
        </is>
      </c>
      <c r="C82" s="2" t="inlineStr">
        <is>
          <t>C29</t>
        </is>
      </c>
      <c r="D82" s="2" t="inlineStr">
        <is>
          <t>3 HOJAS Separador 9,5</t>
        </is>
      </c>
      <c r="E82" s="2">
        <f>D29*10%+D29</f>
        <v/>
      </c>
      <c r="F82" s="3" t="n">
        <v>48400</v>
      </c>
    </row>
    <row r="83">
      <c r="A83" s="2" t="inlineStr">
        <is>
          <t>Hoja10</t>
        </is>
      </c>
      <c r="B83" s="2" t="inlineStr">
        <is>
          <t>PRESUPUESTOS LINEA 8000</t>
        </is>
      </c>
      <c r="C83" s="2" t="inlineStr">
        <is>
          <t>K29</t>
        </is>
      </c>
      <c r="D83" s="2" t="inlineStr">
        <is>
          <t>3 HOJAS Separador 9,5</t>
        </is>
      </c>
      <c r="E83" s="2">
        <f>J29+J29*25%</f>
        <v/>
      </c>
      <c r="F83" s="3" t="n">
        <v>6402</v>
      </c>
    </row>
    <row r="84">
      <c r="A84" s="2" t="inlineStr">
        <is>
          <t>Hoja10</t>
        </is>
      </c>
      <c r="B84" s="2" t="inlineStr">
        <is>
          <t>PRESUPUESTOS LINEA 8000</t>
        </is>
      </c>
      <c r="C84" s="2" t="inlineStr">
        <is>
          <t>C30</t>
        </is>
      </c>
      <c r="D84" s="2" t="inlineStr">
        <is>
          <t>4 HOJAS Union</t>
        </is>
      </c>
      <c r="E84" s="2">
        <f>D30*10%+D30</f>
        <v/>
      </c>
      <c r="F84" s="3" t="n">
        <v>64900</v>
      </c>
    </row>
    <row r="85">
      <c r="A85" s="2" t="inlineStr">
        <is>
          <t>Hoja10</t>
        </is>
      </c>
      <c r="B85" s="2" t="inlineStr">
        <is>
          <t>PRESUPUESTOS LINEA 8000</t>
        </is>
      </c>
      <c r="C85" s="2" t="inlineStr">
        <is>
          <t>K30</t>
        </is>
      </c>
      <c r="D85" s="2" t="inlineStr">
        <is>
          <t>4 HOJAS Union</t>
        </is>
      </c>
      <c r="E85" s="2">
        <f>J30+J30*25%</f>
        <v/>
      </c>
      <c r="F85" s="3" t="n">
        <v>400</v>
      </c>
    </row>
    <row r="86">
      <c r="A86" s="2" t="inlineStr">
        <is>
          <t>Hoja10</t>
        </is>
      </c>
      <c r="B86" s="2" t="inlineStr">
        <is>
          <t>PRESUPUESTOS LINEA 8000</t>
        </is>
      </c>
      <c r="C86" s="2" t="inlineStr">
        <is>
          <t>K31</t>
        </is>
      </c>
      <c r="D86" s="2" t="inlineStr">
        <is>
          <t>butilo</t>
        </is>
      </c>
      <c r="E86" s="2">
        <f>J31+J31*25%</f>
        <v/>
      </c>
      <c r="F86" s="3" t="n">
        <v>5236</v>
      </c>
    </row>
    <row r="87">
      <c r="A87" s="2" t="inlineStr">
        <is>
          <t>Hoja10</t>
        </is>
      </c>
      <c r="B87" s="2" t="inlineStr">
        <is>
          <t>PRESUPUESTOS LINEA 8000</t>
        </is>
      </c>
      <c r="C87" s="2" t="inlineStr">
        <is>
          <t>K32</t>
        </is>
      </c>
      <c r="D87" s="2" t="inlineStr">
        <is>
          <t>silica</t>
        </is>
      </c>
      <c r="E87" s="2">
        <f>CEILING(J32+J32*25%,10)</f>
        <v/>
      </c>
      <c r="F87" s="3" t="n">
        <v>130</v>
      </c>
    </row>
    <row r="88">
      <c r="A88" s="2" t="inlineStr">
        <is>
          <t>Hoja11</t>
        </is>
      </c>
      <c r="B88" s="2" t="inlineStr">
        <is>
          <t>CELOSIAS</t>
        </is>
      </c>
      <c r="C88" s="2" t="inlineStr">
        <is>
          <t>C18</t>
        </is>
      </c>
      <c r="D88" s="2" t="inlineStr">
        <is>
          <t>1 CELOSIAS 2 TRIPLE INC.</t>
        </is>
      </c>
      <c r="E88" s="2">
        <f>C21*10%+C21</f>
        <v/>
      </c>
      <c r="F88" s="3" t="n">
        <v>9900</v>
      </c>
    </row>
    <row r="89">
      <c r="A89" s="2" t="inlineStr">
        <is>
          <t>Hoja11</t>
        </is>
      </c>
      <c r="B89" s="2" t="inlineStr">
        <is>
          <t>CELOSIAS</t>
        </is>
      </c>
      <c r="C89" s="2" t="inlineStr">
        <is>
          <t>C19</t>
        </is>
      </c>
      <c r="D89" s="2" t="inlineStr">
        <is>
          <t>2 FIJO C/CEL 3 VITREA INC.</t>
        </is>
      </c>
      <c r="E89" s="2">
        <f>C22*10%+C22</f>
        <v/>
      </c>
      <c r="F89" s="3" t="n">
        <v>11000</v>
      </c>
    </row>
    <row r="90">
      <c r="A90" s="2" t="inlineStr">
        <is>
          <t>Hoja12</t>
        </is>
      </c>
      <c r="B90" s="2" t="inlineStr">
        <is>
          <t>PRESUPUESTOS LINEA 7000</t>
        </is>
      </c>
      <c r="C90" s="2" t="inlineStr">
        <is>
          <t>C28</t>
        </is>
      </c>
      <c r="D90" s="2" t="inlineStr">
        <is>
          <t>2 HOJAS</t>
        </is>
      </c>
      <c r="E90" s="2">
        <f>D28*10%+D28</f>
        <v/>
      </c>
      <c r="F90" s="3" t="n">
        <v>30800</v>
      </c>
    </row>
    <row r="91">
      <c r="A91" s="2" t="inlineStr">
        <is>
          <t>Hoja12</t>
        </is>
      </c>
      <c r="B91" s="2" t="inlineStr">
        <is>
          <t>PRESUPUESTOS LINEA 7000</t>
        </is>
      </c>
      <c r="C91" s="2" t="inlineStr">
        <is>
          <t>C29</t>
        </is>
      </c>
      <c r="D91" s="2" t="inlineStr">
        <is>
          <t>3 HOJAS</t>
        </is>
      </c>
      <c r="E91" s="2">
        <f>D29*10%+D29</f>
        <v/>
      </c>
      <c r="F91" s="3" t="n">
        <v>39600</v>
      </c>
    </row>
    <row r="92">
      <c r="A92" s="2" t="inlineStr">
        <is>
          <t>Hoja12</t>
        </is>
      </c>
      <c r="B92" s="2" t="inlineStr">
        <is>
          <t>PRESUPUESTOS LINEA 7000</t>
        </is>
      </c>
      <c r="C92" s="2" t="inlineStr">
        <is>
          <t>C30</t>
        </is>
      </c>
      <c r="D92" s="2" t="inlineStr">
        <is>
          <t>4 HOJAS</t>
        </is>
      </c>
      <c r="E92" s="2">
        <f>D30*10%+D30</f>
        <v/>
      </c>
      <c r="F92" s="3" t="n">
        <v>53350</v>
      </c>
    </row>
    <row r="93">
      <c r="A93" s="2" t="inlineStr">
        <is>
          <t>Hoja13</t>
        </is>
      </c>
      <c r="B93" s="2" t="inlineStr">
        <is>
          <t>PRESUPUESTO VENTANA DE ABATIR</t>
        </is>
      </c>
      <c r="C93" s="2" t="inlineStr">
        <is>
          <t>C20</t>
        </is>
      </c>
      <c r="D93" s="2" t="inlineStr">
        <is>
          <t>M.OBRA 4 CATEDRAL</t>
        </is>
      </c>
      <c r="E93" s="2">
        <f>D20*10%+D20</f>
        <v/>
      </c>
      <c r="F93" s="3" t="n">
        <v>18700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2026-06-22T02:26:28Z</dcterms:created>
  <dcterms:modified xmlns:dcterms="http://purl.org/dc/terms/" xmlns:xsi="http://www.w3.org/2001/XMLSchema-instance" xsi:type="dcterms:W3CDTF">2026-06-22T02:26:28Z</dcterms:modified>
</cp:coreProperties>
</file>